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9b43e9629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.1" sheetId="1" r:id="R9f95a8bdd5fe49e3"/>
    <x:sheet xmlns:r="http://schemas.openxmlformats.org/officeDocument/2006/relationships" name="2.2" sheetId="2" r:id="R92fd0fdde4cc4088"/>
    <x:sheet xmlns:r="http://schemas.openxmlformats.org/officeDocument/2006/relationships" name="2.3" sheetId="3" r:id="R3667bcff5c61416f"/>
    <x:sheet xmlns:r="http://schemas.openxmlformats.org/officeDocument/2006/relationships" name="2.4" sheetId="4" r:id="Rf39fc102b0fb4619"/>
    <x:sheet xmlns:r="http://schemas.openxmlformats.org/officeDocument/2006/relationships" name="2.5" sheetId="5" r:id="R4d721c220b844a16"/>
    <x:sheet xmlns:r="http://schemas.openxmlformats.org/officeDocument/2006/relationships" name="2.6" sheetId="6" r:id="Rf21afdaaca5840c2"/>
    <x:sheet xmlns:r="http://schemas.openxmlformats.org/officeDocument/2006/relationships" name="2.7" sheetId="7" r:id="R8358a3f3195e4124"/>
    <x:sheet xmlns:r="http://schemas.openxmlformats.org/officeDocument/2006/relationships" name="2.8" sheetId="8" r:id="R38192437a694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(#,##0.00);0.00"/>
    <x:numFmt numFmtId="201" formatCode="0.00%;(0.00%);0.00%"/>
    <x:numFmt numFmtId="202" formatCode="#,##0"/>
    <x:numFmt numFmtId="203" formatCode="0.000000"/>
    <x:numFmt numFmtId="204" formatCode="0.00000%"/>
    <x:numFmt numFmtId="205" formatCode="0.000000%"/>
    <x:numFmt numFmtId="206" formatCode="0.00000"/>
    <x:numFmt numFmtId="207" formatCode="General"/>
    <x:numFmt numFmtId="208" formatCode="  @"/>
    <x:numFmt numFmtId="209" formatCode="0.0000%"/>
    <x:numFmt numFmtId="210" formatCode="0.0000"/>
    <x:numFmt numFmtId="211" formatCode="0.00%"/>
  </x:numFmts>
  <x:fonts count="10">
    <x:font>
      <x:sz val="11"/>
      <x:name val="Carlito"/>
    </x:font>
    <x:font>
      <x:sz val="11"/>
      <x:color rgb="FF142F44"/>
      <x:name val="Arial"/>
    </x:font>
    <x:font>
      <x:b/>
      <x:sz val="17"/>
      <x:color rgb="FF142F44"/>
      <x:name val="Arial"/>
    </x:font>
    <x:font>
      <x:b/>
      <x:sz val="11"/>
      <x:color rgb="FF142F44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sz val="11"/>
      <x:color rgb="FF536675"/>
      <x:name val="Arial"/>
    </x:font>
    <x:font>
      <x:b/>
      <x:sz val="11"/>
      <x:color rgb="FF000000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DF4F6"/>
      </x:patternFill>
    </x:fill>
    <x:fill>
      <x:patternFill patternType="solid">
        <x:fgColor rgb="FFFFF2CC"/>
      </x:patternFill>
    </x:fill>
    <x:fill>
      <x:patternFill patternType="solid">
        <x:fgColor rgb="FFF1F3F5"/>
      </x:patternFill>
    </x:fill>
    <x:fill>
      <x:patternFill patternType="solid">
        <x:fgColor rgb="FF142F4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/>
      <x:top style="thin">
        <x:color rgb="FF142F44"/>
      </x:top>
      <x:bottom/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200" fontId="7" fillId="2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5" fillId="2" borderId="0" xfId="0" applyNumberFormat="1" applyFont="1" applyFill="1" applyBorder="1" applyAlignment="1">
      <x:alignment vertical="center"/>
    </x:xf>
    <x:xf numFmtId="204" fontId="7" fillId="2" borderId="0" xfId="0" applyNumberFormat="1" applyFont="1" applyFill="1" applyBorder="1" applyAlignment="1">
      <x:alignment vertical="center"/>
    </x:xf>
    <x:xf numFmtId="204" fontId="7" fillId="2" borderId="2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6" fontId="5" fillId="2" borderId="0" xfId="0" applyNumberFormat="1" applyFont="1" applyFill="1" applyBorder="1" applyAlignment="1">
      <x:alignment vertical="center"/>
    </x:xf>
    <x:xf numFmtId="206" fontId="7" fillId="2" borderId="0" xfId="0" applyNumberFormat="1" applyFont="1" applyFill="1" applyBorder="1" applyAlignment="1">
      <x:alignment vertical="center"/>
    </x:xf>
    <x:xf numFmtId="206" fontId="7" fillId="2" borderId="2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208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9" fontId="5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210" fontId="5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211" fontId="4" fillId="0" borderId="0" xfId="0" applyNumberFormat="1" applyFont="1" applyFill="1" applyBorder="1" applyAlignment="1">
      <x:alignment vertical="center"/>
    </x:xf>
    <x:xf numFmtId="211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00020"/>
      </x:font>
      <x:fill>
        <x:patternFill patternType="solid">
          <x:bgColor rgb="FFFCE4D6"/>
        </x:patternFill>
      </x:fill>
    </x:dxf>
    <x:dxf>
      <x:font>
        <x:b/>
        <x:color rgb="FFB000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c9037dd934726" /><Relationship Type="http://schemas.openxmlformats.org/officeDocument/2006/relationships/theme" Target="/xl/theme/theme1.xml" Id="Rd45c73c4fc1949be" /><Relationship Type="http://schemas.openxmlformats.org/officeDocument/2006/relationships/sharedStrings" Target="/xl/sharedStrings.xml" Id="R494713dfeab14610" /><Relationship Type="http://schemas.openxmlformats.org/officeDocument/2006/relationships/worksheet" Target="/xl/worksheets/sheet1.xml" Id="R9f95a8bdd5fe49e3" /><Relationship Type="http://schemas.openxmlformats.org/officeDocument/2006/relationships/worksheet" Target="/xl/worksheets/sheet2.xml" Id="R92fd0fdde4cc4088" /><Relationship Type="http://schemas.openxmlformats.org/officeDocument/2006/relationships/worksheet" Target="/xl/worksheets/sheet3.xml" Id="R3667bcff5c61416f" /><Relationship Type="http://schemas.openxmlformats.org/officeDocument/2006/relationships/worksheet" Target="/xl/worksheets/sheet4.xml" Id="Rf39fc102b0fb4619" /><Relationship Type="http://schemas.openxmlformats.org/officeDocument/2006/relationships/worksheet" Target="/xl/worksheets/sheet5.xml" Id="R4d721c220b844a16" /><Relationship Type="http://schemas.openxmlformats.org/officeDocument/2006/relationships/worksheet" Target="/xl/worksheets/sheet6.xml" Id="Rf21afdaaca5840c2" /><Relationship Type="http://schemas.openxmlformats.org/officeDocument/2006/relationships/worksheet" Target="/xl/worksheets/sheet7.xml" Id="R8358a3f3195e4124" /><Relationship Type="http://schemas.openxmlformats.org/officeDocument/2006/relationships/worksheet" Target="/xl/worksheets/sheet8.xml" Id="R38192437a6944f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6e3d26ee8642b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e1bca24aa534bd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42c5993d9cd480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5958857294d4eb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39e9e3cfa0240a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83733874d36445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Restgæld efter hver termin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Annuitet, kr.</c:v>
          </c:tx>
          <c:spPr>
            <a:solidFill xmlns:a="http://schemas.openxmlformats.org/drawingml/2006/main">
              <a:srgbClr val="087F8C"/>
            </a:solidFill>
            <a:ln xmlns:a="http://schemas.openxmlformats.org/drawingml/2006/main"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cat>
            <c:strRef>
              <c:f>'2.1'!$B$46:$B$49</c:f>
              <c:strCache>
                <c:ptCount val="0"/>
              </c:strCache>
            </c:strRef>
          </c:cat>
          <c:val>
            <c:numRef>
              <c:f>'2.1'!$C$46:$C$49</c:f>
              <c:numCache>
                <c:formatCode>#,##0.00;(#,##0.00);0.00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Serie, kr.</c:v>
          </c:tx>
          <c:spPr>
            <a:solidFill xmlns:a="http://schemas.openxmlformats.org/drawingml/2006/main">
              <a:srgbClr val="CA7A20"/>
            </a:solidFill>
            <a:ln xmlns:a="http://schemas.openxmlformats.org/drawingml/2006/main" w="19050">
              <a:solidFill>
                <a:srgbClr val="CA7A20"/>
              </a:solidFill>
              <a:prstDash val="solid"/>
            </a:ln>
          </c:spPr>
          <c:marker>
            <c:symbol val="none"/>
          </c:marker>
          <c:cat>
            <c:strRef>
              <c:f>'2.1'!$B$46:$B$49</c:f>
              <c:strCache>
                <c:ptCount val="0"/>
              </c:strCache>
            </c:strRef>
          </c:cat>
          <c:val>
            <c:numRef>
              <c:f>'2.1'!$D$46:$D$49</c:f>
              <c:numCache>
                <c:formatCode>#,##0.00;(#,##0.00);0.00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Stående, kr.</c:v>
          </c:tx>
          <c:spPr>
            <a:solidFill xmlns:a="http://schemas.openxmlformats.org/drawingml/2006/main">
              <a:srgbClr val="142F44"/>
            </a:solidFill>
            <a:ln xmlns:a="http://schemas.openxmlformats.org/drawingml/2006/main" w="19050">
              <a:solidFill>
                <a:srgbClr val="142F44"/>
              </a:solidFill>
              <a:prstDash val="solid"/>
            </a:ln>
          </c:spPr>
          <c:marker>
            <c:symbol val="none"/>
          </c:marker>
          <c:cat>
            <c:strRef>
              <c:f>'2.1'!$B$46:$B$49</c:f>
              <c:strCache>
                <c:ptCount val="0"/>
              </c:strCache>
            </c:strRef>
          </c:cat>
          <c:val>
            <c:numRef>
              <c:f>'2.1'!$E$46:$E$49</c:f>
              <c:numCache>
                <c:formatCode>#,##0.00;(#,##0.00);0.00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Restgæld, kr.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Pull-to-par ved uændret rente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Kurs</c:v>
          </c:tx>
          <c:spPr>
            <a:solidFill xmlns:a="http://schemas.openxmlformats.org/drawingml/2006/main">
              <a:srgbClr val="087F8C"/>
            </a:solidFill>
            <a:ln xmlns:a="http://schemas.openxmlformats.org/drawingml/2006/main"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cat>
            <c:strRef>
              <c:f>'2.2'!$B$33:$B$38</c:f>
              <c:strCache>
                <c:ptCount val="0"/>
              </c:strCache>
            </c:strRef>
          </c:cat>
          <c:val>
            <c:numRef>
              <c:f>'2.2'!$C$33:$C$38</c:f>
              <c:numCache>
                <c:formatCode>#,##0.00;(#,##0.00);0.00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Kurs pr. 100 nominel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Fordeling af næste kupon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Kr.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'2.4'!$B$32:$B$33</c:f>
              <c:strCache>
                <c:ptCount val="0"/>
              </c:strCache>
            </c:strRef>
          </c:cat>
          <c:val>
            <c:numRef>
              <c:f>'2.4'!$C$32:$C$33</c:f>
              <c:numCache>
                <c:formatCode>#,##0.00;(#,##0.00);0.00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Beløb, kr.</a:t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Pull-to-par ved uændrede renter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Rente 1: kurs</c:v>
          </c:tx>
          <c:spPr>
            <a:ln xmlns:a="http://schemas.openxmlformats.org/drawingml/2006/main"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cat>
            <c:strRef>
              <c:f>'2.5'!$B$40:$B$46</c:f>
              <c:strCache>
                <c:ptCount val="0"/>
              </c:strCache>
            </c:strRef>
          </c:cat>
          <c:val>
            <c:numRef>
              <c:f>'2.5'!$D$40:$D$46</c:f>
              <c:numCache>
                <c:formatCode>#,##0.00;(#,##0.00);0.00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Rente 2: kurs</c:v>
          </c:tx>
          <c:spPr>
            <a:ln xmlns:a="http://schemas.openxmlformats.org/drawingml/2006/main" w="19050">
              <a:solidFill>
                <a:srgbClr val="CA7A20"/>
              </a:solidFill>
              <a:prstDash val="solid"/>
            </a:ln>
          </c:spPr>
          <c:marker>
            <c:symbol val="none"/>
          </c:marker>
          <c:cat>
            <c:strRef>
              <c:f>'2.5'!$B$40:$B$46</c:f>
              <c:strCache>
                <c:ptCount val="0"/>
              </c:strCache>
            </c:strRef>
          </c:cat>
          <c:val>
            <c:numRef>
              <c:f>'2.5'!$E$40:$E$46</c:f>
              <c:numCache>
                <c:formatCode>#,##0.00;(#,##0.00);0.00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Rente 3: kurs</c:v>
          </c:tx>
          <c:spPr>
            <a:ln xmlns:a="http://schemas.openxmlformats.org/drawingml/2006/main" w="19050">
              <a:solidFill>
                <a:srgbClr val="142F44"/>
              </a:solidFill>
              <a:prstDash val="solid"/>
            </a:ln>
          </c:spPr>
          <c:marker>
            <c:symbol val="none"/>
          </c:marker>
          <c:cat>
            <c:strRef>
              <c:f>'2.5'!$B$40:$B$46</c:f>
              <c:strCache>
                <c:ptCount val="0"/>
              </c:strCache>
            </c:strRef>
          </c:cat>
          <c:val>
            <c:numRef>
              <c:f>'2.5'!$F$40:$F$46</c:f>
              <c:numCache>
                <c:formatCode>#,##0.00;(#,##0.00);0.00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Kurs pr. 100 nominel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Genplaceringsrente tjent frem til år 3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Samlet rente på kuponer, kr.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'2.6'!$B$39:$B$40</c:f>
              <c:strCache>
                <c:ptCount val="0"/>
              </c:strCache>
            </c:strRef>
          </c:cat>
          <c:val>
            <c:numRef>
              <c:f>'2.6'!$C$39:$C$40</c:f>
              <c:numCache>
                <c:formatCode>#,##0.00;(#,##0.00);0.00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Renteindtægt, kr.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Kurs og årlig effektiv rente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K: kurs</c:v>
          </c:tx>
          <c:spPr>
            <a:solidFill xmlns:a="http://schemas.openxmlformats.org/drawingml/2006/main">
              <a:srgbClr val="087F8C"/>
            </a:solidFill>
            <a:ln xmlns:a="http://schemas.openxmlformats.org/drawingml/2006/main"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cat>
            <c:strRef>
              <c:f>'2.7'!$H$36:$H$43</c:f>
              <c:strCache>
                <c:ptCount val="0"/>
              </c:strCache>
            </c:strRef>
          </c:cat>
          <c:val>
            <c:numRef>
              <c:f>'2.7'!$C$36:$C$43</c:f>
              <c:numCache>
                <c:formatCode>#,##0.00;(#,##0.00);0.00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L: kurs</c:v>
          </c:tx>
          <c:spPr>
            <a:solidFill xmlns:a="http://schemas.openxmlformats.org/drawingml/2006/main">
              <a:srgbClr val="CA7A20"/>
            </a:solidFill>
            <a:ln xmlns:a="http://schemas.openxmlformats.org/drawingml/2006/main" w="19050">
              <a:solidFill>
                <a:srgbClr val="CA7A20"/>
              </a:solidFill>
              <a:prstDash val="solid"/>
            </a:ln>
          </c:spPr>
          <c:marker>
            <c:symbol val="none"/>
          </c:marker>
          <c:cat>
            <c:strRef>
              <c:f>'2.7'!$H$36:$H$43</c:f>
              <c:strCache>
                <c:ptCount val="0"/>
              </c:strCache>
            </c:strRef>
          </c:cat>
          <c:val>
            <c:numRef>
              <c:f>'2.7'!$D$36:$D$43</c:f>
              <c:numCache>
                <c:formatCode>#,##0.00;(#,##0.00);0.00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Kurs pr. 100 nominel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54</xdr:row>
      <xdr:rowOff>0</xdr:rowOff>
    </xdr:from>
    <xdr:to>
      <xdr:col>8</xdr:col>
      <xdr:colOff>0</xdr:colOff>
      <xdr:row>71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6e3d26ee8642b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39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1bca24aa534b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34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2c5993d9cd480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</xdr:col>
      <xdr:colOff>0</xdr:colOff>
      <xdr:row>48</xdr:row>
      <xdr:rowOff>0</xdr:rowOff>
    </xdr:from>
    <xdr:to>
      <xdr:col>8</xdr:col>
      <xdr:colOff>0</xdr:colOff>
      <xdr:row>64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958857294d4eb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</xdr:col>
      <xdr:colOff>0</xdr:colOff>
      <xdr:row>41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9e9e3cfa0240a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</xdr:col>
      <xdr:colOff>0</xdr:colOff>
      <xdr:row>45</xdr:row>
      <xdr:rowOff>0</xdr:rowOff>
    </xdr:from>
    <xdr:to>
      <xdr:col>8</xdr:col>
      <xdr:colOff>0</xdr:colOff>
      <xdr:row>62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733874d364456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d8b536a9614a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a8cab1c860744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48f5f82a6b944b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0c1c40252b0740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5994467ce6749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4d8e5183cca247de" /></Relationships>
</file>

<file path=xl/worksheets/sheet1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2.1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3" customHeight="1">
      <x:c r="A7" s="2"/>
      <x:c r="B7" s="2" t="str">
        <x:v>Hovedstol, kr.</x:v>
      </x:c>
      <x:c r="C7" s="9" t="n">
        <x:v>2000000</x:v>
      </x:c>
      <x:c r="D7" s="2"/>
      <x:c r="E7" s="2"/>
      <x:c r="F7" s="2"/>
      <x:c r="G7" s="2"/>
      <x:c r="H7" s="2"/>
      <x:c r="I7" s="2"/>
    </x:row>
    <x:row r="8" ht="23" customHeight="1">
      <x:c r="A8" s="2"/>
      <x:c r="B8" s="2" t="str">
        <x:v>Årlig rente</x:v>
      </x:c>
      <x:c r="C8" s="12" t="n">
        <x:v>0.05</x:v>
      </x:c>
      <x:c r="D8" s="2"/>
      <x:c r="E8" s="2"/>
      <x:c r="F8" s="2"/>
      <x:c r="G8" s="2"/>
      <x:c r="H8" s="2"/>
      <x:c r="I8" s="2"/>
    </x:row>
    <x:row r="9" ht="23" customHeight="1">
      <x:c r="A9" s="2"/>
      <x:c r="B9" s="2" t="str">
        <x:v>Antal år (fast)</x:v>
      </x:c>
      <x:c r="C9" s="14" t="n">
        <x:v>4</x:v>
      </x:c>
      <x:c r="D9" s="2"/>
      <x:c r="E9" s="2"/>
      <x:c r="F9" s="2"/>
      <x:c r="G9" s="2"/>
      <x:c r="H9" s="2"/>
      <x:c r="I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3" customHeight="1">
      <x:c r="A11" s="2"/>
      <x:c r="B11" s="19" t="str">
        <x:v>(a) Fast årlig ydelse</x:v>
      </x:c>
      <x:c r="C11" s="20" t="n">
        <x:f>IF(C8=0,C7/C9,C7*C8/(1-(1+C8)^(-C9)))</x:f>
        <x:v>564023.6652069251</x:v>
      </x:c>
      <x:c r="D11" s="2"/>
      <x:c r="E11" s="16" t="str">
        <x:v>Ved 0 % er ydelsen hovedstol / antal år.</x:v>
      </x:c>
      <x:c r="F11" s="16"/>
      <x:c r="G11" s="16"/>
      <x:c r="H11" s="16"/>
      <x:c r="I11" s="2"/>
    </x:row>
    <x:row r="12" ht="23" customHeight="1">
      <x:c r="A12" s="2"/>
      <x:c r="B12" s="16" t="str">
        <x:v>Ydelsen findes ved at sætte nutidsværdien af de fire ens ydelser lig hovedstolen.</x:v>
      </x:c>
      <x:c r="C12" s="16"/>
      <x:c r="D12" s="16"/>
      <x:c r="E12" s="16"/>
      <x:c r="F12" s="16"/>
      <x:c r="G12" s="16"/>
      <x:c r="H12" s="16"/>
      <x:c r="I12" s="2"/>
    </x:row>
    <x:row r="13" ht="23" customHeight="1">
      <x:c r="A13" s="2"/>
      <x:c r="B13" s="16" t="str">
        <x:v>Rente = restgæld før betaling × rente. Afdrag = ydelse - rente.</x:v>
      </x:c>
      <x:c r="C13" s="16"/>
      <x:c r="D13" s="16"/>
      <x:c r="E13" s="16"/>
      <x:c r="F13" s="16"/>
      <x:c r="G13" s="16"/>
      <x:c r="H13" s="16"/>
      <x:c r="I13" s="2"/>
    </x:row>
    <x:row r="14" ht="23" customHeight="1">
      <x:c r="A14" s="2"/>
      <x:c r="B14" s="6" t="str">
        <x:v>Annuitet - beløb i kr.</x:v>
      </x:c>
      <x:c r="C14" s="6"/>
      <x:c r="D14" s="6"/>
      <x:c r="E14" s="6"/>
      <x:c r="F14" s="6"/>
      <x:c r="G14" s="6"/>
      <x:c r="H14" s="6"/>
      <x:c r="I14" s="2"/>
    </x:row>
    <x:row r="15" ht="32" customHeight="1">
      <x:c r="A15" s="2"/>
      <x:c r="B15" s="25" t="str">
        <x:v>År</x:v>
      </x:c>
      <x:c r="C15" s="25" t="str">
        <x:v>Restgæld før</x:v>
      </x:c>
      <x:c r="D15" s="25" t="str">
        <x:v>Rente</x:v>
      </x:c>
      <x:c r="E15" s="25" t="str">
        <x:v>Afdrag</x:v>
      </x:c>
      <x:c r="F15" s="25" t="str">
        <x:v>Ydelse</x:v>
      </x:c>
      <x:c r="G15" s="25" t="str">
        <x:v>Restgæld efter</x:v>
      </x:c>
      <x:c r="H15" s="2"/>
      <x:c r="I15" s="2"/>
    </x:row>
    <x:row r="16" ht="23" customHeight="1">
      <x:c r="A16" s="2"/>
      <x:c r="B16" s="13" t="n">
        <x:v>1</x:v>
      </x:c>
      <x:c r="C16" s="15" t="n">
        <x:f>$C$7</x:f>
        <x:v>2000000</x:v>
      </x:c>
      <x:c r="D16" s="15" t="n">
        <x:f>C16*$C$8</x:f>
        <x:v>100000</x:v>
      </x:c>
      <x:c r="E16" s="15" t="n">
        <x:f>F16-D16</x:f>
        <x:v>464023.6652069251</x:v>
      </x:c>
      <x:c r="F16" s="15" t="n">
        <x:f>$C$11</x:f>
        <x:v>564023.6652069251</x:v>
      </x:c>
      <x:c r="G16" s="15" t="n">
        <x:f>C16-E16</x:f>
        <x:v>1535976.334793075</x:v>
      </x:c>
      <x:c r="H16" s="2"/>
      <x:c r="I16" s="2"/>
    </x:row>
    <x:row r="17" ht="23" customHeight="1">
      <x:c r="A17" s="2"/>
      <x:c r="B17" s="13" t="n">
        <x:v>2</x:v>
      </x:c>
      <x:c r="C17" s="15" t="n">
        <x:f>G16</x:f>
        <x:v>1535976.334793075</x:v>
      </x:c>
      <x:c r="D17" s="15" t="n">
        <x:f>C17*$C$8</x:f>
        <x:v>76798.81673965375</x:v>
      </x:c>
      <x:c r="E17" s="15" t="n">
        <x:f>F17-D17</x:f>
        <x:v>487224.84846727137</x:v>
      </x:c>
      <x:c r="F17" s="15" t="n">
        <x:f>$C$11</x:f>
        <x:v>564023.6652069251</x:v>
      </x:c>
      <x:c r="G17" s="15" t="n">
        <x:f>C17-E17</x:f>
        <x:v>1048751.4863258037</x:v>
      </x:c>
      <x:c r="H17" s="2"/>
      <x:c r="I17" s="2"/>
    </x:row>
    <x:row r="18" ht="23" customHeight="1">
      <x:c r="A18" s="2"/>
      <x:c r="B18" s="13" t="n">
        <x:v>3</x:v>
      </x:c>
      <x:c r="C18" s="15" t="n">
        <x:f>G17</x:f>
        <x:v>1048751.4863258037</x:v>
      </x:c>
      <x:c r="D18" s="15" t="n">
        <x:f>C18*$C$8</x:f>
        <x:v>52437.574316290185</x:v>
      </x:c>
      <x:c r="E18" s="15" t="n">
        <x:f>F18-D18</x:f>
        <x:v>511586.0908906349</x:v>
      </x:c>
      <x:c r="F18" s="15" t="n">
        <x:f>$C$11</x:f>
        <x:v>564023.6652069251</x:v>
      </x:c>
      <x:c r="G18" s="15" t="n">
        <x:f>C18-E18</x:f>
        <x:v>537165.3954351688</x:v>
      </x:c>
      <x:c r="H18" s="2"/>
      <x:c r="I18" s="2"/>
    </x:row>
    <x:row r="19" ht="23" customHeight="1">
      <x:c r="A19" s="2"/>
      <x:c r="B19" s="13" t="n">
        <x:v>4</x:v>
      </x:c>
      <x:c r="C19" s="15" t="n">
        <x:f>G18</x:f>
        <x:v>537165.3954351688</x:v>
      </x:c>
      <x:c r="D19" s="15" t="n">
        <x:f>C19*$C$8</x:f>
        <x:v>26858.269771758438</x:v>
      </x:c>
      <x:c r="E19" s="15" t="n">
        <x:f>F19-D19</x:f>
        <x:v>537165.3954351667</x:v>
      </x:c>
      <x:c r="F19" s="15" t="n">
        <x:f>$C$11</x:f>
        <x:v>564023.6652069251</x:v>
      </x:c>
      <x:c r="G19" s="15" t="n">
        <x:f>C19-E19</x:f>
        <x:v>2.0954757928848267e-9</x:v>
      </x:c>
      <x:c r="H19" s="2"/>
      <x:c r="I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3" customHeight="1">
      <x:c r="A23" s="2"/>
      <x:c r="B23" s="6" t="str">
        <x:v>Serie - beløb i kr.</x:v>
      </x:c>
      <x:c r="C23" s="6"/>
      <x:c r="D23" s="6"/>
      <x:c r="E23" s="6"/>
      <x:c r="F23" s="6"/>
      <x:c r="G23" s="6"/>
      <x:c r="H23" s="6"/>
      <x:c r="I23" s="2"/>
    </x:row>
    <x:row r="24" ht="32" customHeight="1">
      <x:c r="A24" s="2"/>
      <x:c r="B24" s="25" t="str">
        <x:v>År</x:v>
      </x:c>
      <x:c r="C24" s="25" t="str">
        <x:v>Restgæld før</x:v>
      </x:c>
      <x:c r="D24" s="25" t="str">
        <x:v>Rente</x:v>
      </x:c>
      <x:c r="E24" s="25" t="str">
        <x:v>Afdrag</x:v>
      </x:c>
      <x:c r="F24" s="25" t="str">
        <x:v>Ydelse</x:v>
      </x:c>
      <x:c r="G24" s="25" t="str">
        <x:v>Restgæld efter</x:v>
      </x:c>
      <x:c r="H24" s="2"/>
      <x:c r="I24" s="2"/>
    </x:row>
    <x:row r="25" ht="23" customHeight="1">
      <x:c r="A25" s="2"/>
      <x:c r="B25" s="13" t="n">
        <x:v>1</x:v>
      </x:c>
      <x:c r="C25" s="15" t="n">
        <x:f>$C$7</x:f>
        <x:v>2000000</x:v>
      </x:c>
      <x:c r="D25" s="15" t="n">
        <x:f>C25*$C$8</x:f>
        <x:v>100000</x:v>
      </x:c>
      <x:c r="E25" s="15" t="n">
        <x:f>$C$7/$C$9</x:f>
        <x:v>500000</x:v>
      </x:c>
      <x:c r="F25" s="15" t="n">
        <x:f>D25+E25</x:f>
        <x:v>600000</x:v>
      </x:c>
      <x:c r="G25" s="15" t="n">
        <x:f>C25-E25</x:f>
        <x:v>1500000</x:v>
      </x:c>
      <x:c r="H25" s="2"/>
      <x:c r="I25" s="2"/>
    </x:row>
    <x:row r="26" ht="23" customHeight="1">
      <x:c r="A26" s="2"/>
      <x:c r="B26" s="13" t="n">
        <x:v>2</x:v>
      </x:c>
      <x:c r="C26" s="15" t="n">
        <x:f>G25</x:f>
        <x:v>1500000</x:v>
      </x:c>
      <x:c r="D26" s="15" t="n">
        <x:f>C26*$C$8</x:f>
        <x:v>75000</x:v>
      </x:c>
      <x:c r="E26" s="15" t="n">
        <x:f>$C$7/$C$9</x:f>
        <x:v>500000</x:v>
      </x:c>
      <x:c r="F26" s="15" t="n">
        <x:f>D26+E26</x:f>
        <x:v>575000</x:v>
      </x:c>
      <x:c r="G26" s="15" t="n">
        <x:f>C26-E26</x:f>
        <x:v>1000000</x:v>
      </x:c>
      <x:c r="H26" s="2"/>
      <x:c r="I26" s="2"/>
    </x:row>
    <x:row r="27" ht="23" customHeight="1">
      <x:c r="A27" s="2"/>
      <x:c r="B27" s="13" t="n">
        <x:v>3</x:v>
      </x:c>
      <x:c r="C27" s="15" t="n">
        <x:f>G26</x:f>
        <x:v>1000000</x:v>
      </x:c>
      <x:c r="D27" s="15" t="n">
        <x:f>C27*$C$8</x:f>
        <x:v>50000</x:v>
      </x:c>
      <x:c r="E27" s="15" t="n">
        <x:f>$C$7/$C$9</x:f>
        <x:v>500000</x:v>
      </x:c>
      <x:c r="F27" s="15" t="n">
        <x:f>D27+E27</x:f>
        <x:v>550000</x:v>
      </x:c>
      <x:c r="G27" s="15" t="n">
        <x:f>C27-E27</x:f>
        <x:v>500000</x:v>
      </x:c>
      <x:c r="H27" s="2"/>
      <x:c r="I27" s="2"/>
    </x:row>
    <x:row r="28" ht="23" customHeight="1">
      <x:c r="A28" s="2"/>
      <x:c r="B28" s="13" t="n">
        <x:v>4</x:v>
      </x:c>
      <x:c r="C28" s="15" t="n">
        <x:f>G27</x:f>
        <x:v>500000</x:v>
      </x:c>
      <x:c r="D28" s="15" t="n">
        <x:f>C28*$C$8</x:f>
        <x:v>25000</x:v>
      </x:c>
      <x:c r="E28" s="15" t="n">
        <x:f>$C$7/$C$9</x:f>
        <x:v>500000</x:v>
      </x:c>
      <x:c r="F28" s="15" t="n">
        <x:f>D28+E28</x:f>
        <x:v>525000</x:v>
      </x:c>
      <x:c r="G28" s="15" t="n">
        <x:f>C28-E28</x:f>
        <x:v>0</x:v>
      </x:c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3" customHeight="1">
      <x:c r="A32" s="2"/>
      <x:c r="B32" s="6" t="str">
        <x:v>Stående - beløb i kr.</x:v>
      </x:c>
      <x:c r="C32" s="6"/>
      <x:c r="D32" s="6"/>
      <x:c r="E32" s="6"/>
      <x:c r="F32" s="6"/>
      <x:c r="G32" s="6"/>
      <x:c r="H32" s="6"/>
      <x:c r="I32" s="2"/>
    </x:row>
    <x:row r="33" ht="32" customHeight="1">
      <x:c r="A33" s="2"/>
      <x:c r="B33" s="25" t="str">
        <x:v>År</x:v>
      </x:c>
      <x:c r="C33" s="25" t="str">
        <x:v>Restgæld før</x:v>
      </x:c>
      <x:c r="D33" s="25" t="str">
        <x:v>Rente</x:v>
      </x:c>
      <x:c r="E33" s="25" t="str">
        <x:v>Afdrag</x:v>
      </x:c>
      <x:c r="F33" s="25" t="str">
        <x:v>Ydelse</x:v>
      </x:c>
      <x:c r="G33" s="25" t="str">
        <x:v>Restgæld efter</x:v>
      </x:c>
      <x:c r="H33" s="2"/>
      <x:c r="I33" s="2"/>
    </x:row>
    <x:row r="34" ht="23" customHeight="1">
      <x:c r="A34" s="2"/>
      <x:c r="B34" s="13" t="n">
        <x:v>1</x:v>
      </x:c>
      <x:c r="C34" s="15" t="n">
        <x:f>$C$7</x:f>
        <x:v>2000000</x:v>
      </x:c>
      <x:c r="D34" s="15" t="n">
        <x:f>C34*$C$8</x:f>
        <x:v>100000</x:v>
      </x:c>
      <x:c r="E34" s="15" t="n">
        <x:f>IF(B34=$C$9,C34,0)</x:f>
        <x:v>0</x:v>
      </x:c>
      <x:c r="F34" s="15" t="n">
        <x:f>D34+E34</x:f>
        <x:v>100000</x:v>
      </x:c>
      <x:c r="G34" s="15" t="n">
        <x:f>C34-E34</x:f>
        <x:v>2000000</x:v>
      </x:c>
      <x:c r="H34" s="2"/>
      <x:c r="I34" s="2"/>
    </x:row>
    <x:row r="35" ht="23" customHeight="1">
      <x:c r="A35" s="2"/>
      <x:c r="B35" s="13" t="n">
        <x:v>2</x:v>
      </x:c>
      <x:c r="C35" s="15" t="n">
        <x:f>G34</x:f>
        <x:v>2000000</x:v>
      </x:c>
      <x:c r="D35" s="15" t="n">
        <x:f>C35*$C$8</x:f>
        <x:v>100000</x:v>
      </x:c>
      <x:c r="E35" s="15" t="n">
        <x:f>IF(B35=$C$9,C35,0)</x:f>
        <x:v>0</x:v>
      </x:c>
      <x:c r="F35" s="15" t="n">
        <x:f>D35+E35</x:f>
        <x:v>100000</x:v>
      </x:c>
      <x:c r="G35" s="15" t="n">
        <x:f>C35-E35</x:f>
        <x:v>2000000</x:v>
      </x:c>
      <x:c r="H35" s="2"/>
      <x:c r="I35" s="2"/>
    </x:row>
    <x:row r="36" ht="23" customHeight="1">
      <x:c r="A36" s="2"/>
      <x:c r="B36" s="13" t="n">
        <x:v>3</x:v>
      </x:c>
      <x:c r="C36" s="15" t="n">
        <x:f>G35</x:f>
        <x:v>2000000</x:v>
      </x:c>
      <x:c r="D36" s="15" t="n">
        <x:f>C36*$C$8</x:f>
        <x:v>100000</x:v>
      </x:c>
      <x:c r="E36" s="15" t="n">
        <x:f>IF(B36=$C$9,C36,0)</x:f>
        <x:v>0</x:v>
      </x:c>
      <x:c r="F36" s="15" t="n">
        <x:f>D36+E36</x:f>
        <x:v>100000</x:v>
      </x:c>
      <x:c r="G36" s="15" t="n">
        <x:f>C36-E36</x:f>
        <x:v>2000000</x:v>
      </x:c>
      <x:c r="H36" s="2"/>
      <x:c r="I36" s="2"/>
    </x:row>
    <x:row r="37" ht="23" customHeight="1">
      <x:c r="A37" s="2"/>
      <x:c r="B37" s="13" t="n">
        <x:v>4</x:v>
      </x:c>
      <x:c r="C37" s="15" t="n">
        <x:f>G36</x:f>
        <x:v>2000000</x:v>
      </x:c>
      <x:c r="D37" s="15" t="n">
        <x:f>C37*$C$8</x:f>
        <x:v>100000</x:v>
      </x:c>
      <x:c r="E37" s="15" t="n">
        <x:f>IF(B37=$C$9,C37,0)</x:f>
        <x:v>2000000</x:v>
      </x:c>
      <x:c r="F37" s="15" t="n">
        <x:f>D37+E37</x:f>
        <x:v>2100000</x:v>
      </x:c>
      <x:c r="G37" s="15" t="n">
        <x:f>C37-E37</x:f>
        <x:v>0</x:v>
      </x:c>
      <x:c r="H37" s="2"/>
      <x:c r="I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3" customHeight="1">
      <x:c r="A40" s="2"/>
      <x:c r="B40" s="2" t="str">
        <x:v>Afdrag i alt, annuitet</x:v>
      </x:c>
      <x:c r="C40" s="15" t="n">
        <x:f>SUM(E16:E19)</x:f>
        <x:v>1999999.9999999981</x:v>
      </x:c>
      <x:c r="D40" s="2"/>
      <x:c r="E40" s="2"/>
      <x:c r="F40" s="2"/>
      <x:c r="G40" s="2"/>
      <x:c r="H40" s="2"/>
      <x:c r="I40" s="2"/>
    </x:row>
    <x:row r="41" ht="23" customHeight="1">
      <x:c r="A41" s="2"/>
      <x:c r="B41" s="2" t="str">
        <x:v>Afdrag minus hovedstol</x:v>
      </x:c>
      <x:c r="C41" s="15" t="n">
        <x:f>C40-C7</x:f>
        <x:v>-1.862645149230957e-9</x:v>
      </x:c>
      <x:c r="D41" s="2"/>
      <x:c r="E41" s="16" t="str">
        <x:v>Kontrol: skal være 0,00 kr.</x:v>
      </x:c>
      <x:c r="F41" s="16"/>
      <x:c r="G41" s="16"/>
      <x:c r="H41" s="16"/>
      <x:c r="I41" s="2"/>
    </x:row>
    <x:row r="42" ht="23" customHeight="1">
      <x:c r="A42" s="2"/>
      <x:c r="B42" s="2" t="str">
        <x:v>Sidste restgæld, annuitet</x:v>
      </x:c>
      <x:c r="C42" s="15" t="n">
        <x:f>G19</x:f>
        <x:v>2.0954757928848267e-9</x:v>
      </x:c>
      <x:c r="D42" s="2"/>
      <x:c r="E42" s="16" t="str">
        <x:v>Kontrol: skal være 0,00 kr. (afrundingsstøj kan forekomme).</x:v>
      </x:c>
      <x:c r="F42" s="16"/>
      <x:c r="G42" s="16"/>
      <x:c r="H42" s="16"/>
      <x:c r="I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32" customHeight="1">
      <x:c r="A45" s="2"/>
      <x:c r="B45" s="25" t="str">
        <x:v>År</x:v>
      </x:c>
      <x:c r="C45" s="25" t="str">
        <x:v>Annuitet, kr.</x:v>
      </x:c>
      <x:c r="D45" s="25" t="str">
        <x:v>Serie, kr.</x:v>
      </x:c>
      <x:c r="E45" s="25" t="str">
        <x:v>Stående, kr.</x:v>
      </x:c>
      <x:c r="F45" s="2"/>
      <x:c r="G45" s="2"/>
      <x:c r="H45" s="2"/>
      <x:c r="I45" s="2"/>
    </x:row>
    <x:row r="46" ht="23" customHeight="1">
      <x:c r="A46" s="2"/>
      <x:c r="B46" s="2" t="n">
        <x:v>1</x:v>
      </x:c>
      <x:c r="C46" s="15" t="n">
        <x:f>G16</x:f>
        <x:v>1535976.334793075</x:v>
      </x:c>
      <x:c r="D46" s="15" t="n">
        <x:f>G25</x:f>
        <x:v>1500000</x:v>
      </x:c>
      <x:c r="E46" s="15" t="n">
        <x:f>G34</x:f>
        <x:v>2000000</x:v>
      </x:c>
      <x:c r="F46" s="2"/>
      <x:c r="G46" s="2"/>
      <x:c r="H46" s="2"/>
      <x:c r="I46" s="2"/>
    </x:row>
    <x:row r="47" ht="23" customHeight="1">
      <x:c r="A47" s="2"/>
      <x:c r="B47" s="2" t="n">
        <x:v>2</x:v>
      </x:c>
      <x:c r="C47" s="15" t="n">
        <x:f>G17</x:f>
        <x:v>1048751.4863258037</x:v>
      </x:c>
      <x:c r="D47" s="15" t="n">
        <x:f>G26</x:f>
        <x:v>1000000</x:v>
      </x:c>
      <x:c r="E47" s="15" t="n">
        <x:f>G35</x:f>
        <x:v>2000000</x:v>
      </x:c>
      <x:c r="F47" s="2"/>
      <x:c r="G47" s="2"/>
      <x:c r="H47" s="2"/>
      <x:c r="I47" s="2"/>
    </x:row>
    <x:row r="48" ht="23" customHeight="1">
      <x:c r="A48" s="2"/>
      <x:c r="B48" s="2" t="n">
        <x:v>3</x:v>
      </x:c>
      <x:c r="C48" s="15" t="n">
        <x:f>G18</x:f>
        <x:v>537165.3954351688</x:v>
      </x:c>
      <x:c r="D48" s="15" t="n">
        <x:f>G27</x:f>
        <x:v>500000</x:v>
      </x:c>
      <x:c r="E48" s="15" t="n">
        <x:f>G36</x:f>
        <x:v>2000000</x:v>
      </x:c>
      <x:c r="F48" s="2"/>
      <x:c r="G48" s="2"/>
      <x:c r="H48" s="2"/>
      <x:c r="I48" s="2"/>
    </x:row>
    <x:row r="49" ht="23" customHeight="1">
      <x:c r="A49" s="2"/>
      <x:c r="B49" s="2" t="n">
        <x:v>4</x:v>
      </x:c>
      <x:c r="C49" s="15" t="n">
        <x:f>G19</x:f>
        <x:v>2.0954757928848267e-9</x:v>
      </x:c>
      <x:c r="D49" s="15" t="n">
        <x:f>G28</x:f>
        <x:v>0</x:v>
      </x:c>
      <x:c r="E49" s="15" t="n">
        <x:f>G37</x:f>
        <x:v>0</x:v>
      </x:c>
      <x:c r="F49" s="2"/>
      <x:c r="G49" s="2"/>
      <x:c r="H49" s="2"/>
      <x:c r="I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3" customHeight="1">
      <x:c r="A51" s="2"/>
      <x:c r="B51" s="16" t="str">
        <x:v>(c) Stående lån: rente undervejs, hele hovedstolen ved sidste termin.</x:v>
      </x:c>
      <x:c r="C51" s="16"/>
      <x:c r="D51" s="16"/>
      <x:c r="E51" s="16"/>
      <x:c r="F51" s="16"/>
      <x:c r="G51" s="16"/>
      <x:c r="H51" s="16"/>
      <x:c r="I51" s="2"/>
    </x:row>
    <x:row r="52" ht="23" customHeight="1">
      <x:c r="A52" s="2"/>
      <x:c r="B52" s="16" t="str">
        <x:v>(d) Hovedstolen kommer hurtigst tilbage i serie, derefter annuitet, og sidst stående.</x:v>
      </x:c>
      <x:c r="C52" s="16"/>
      <x:c r="D52" s="16"/>
      <x:c r="E52" s="16"/>
      <x:c r="F52" s="16"/>
      <x:c r="G52" s="16"/>
      <x:c r="H52" s="16"/>
      <x:c r="I52" s="2"/>
    </x:row>
    <x:row r="53" ht="23" customHeight="1">
      <x:c r="A53" s="2"/>
      <x:c r="B53" s="16" t="str">
        <x:v>Tidligere betalinger giver mindre prisfølsomhed, men mere at genplacere frem til år 4.</x:v>
      </x:c>
      <x:c r="C53" s="16"/>
      <x:c r="D53" s="16"/>
      <x:c r="E53" s="16"/>
      <x:c r="F53" s="16"/>
      <x:c r="G53" s="16"/>
      <x:c r="H53" s="16"/>
      <x:c r="I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3" customHeight="1">
      <x:c r="A72" s="2"/>
      <x:c r="B72" s="16" t="str">
        <x:v>Punkterne er restgæld lige efter betaling; linjerne forbinder terminerne.</x:v>
      </x:c>
      <x:c r="C72" s="16"/>
      <x:c r="D72" s="16"/>
      <x:c r="E72" s="16"/>
      <x:c r="F72" s="16"/>
      <x:c r="G72" s="16"/>
      <x:c r="H72" s="16"/>
      <x:c r="I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</x:row>
  </x:sheetData>
  <x:conditionalFormatting sqref="C41:C41">
    <x:cfRule type="expression" dxfId="0" priority="1">
      <x:formula>ABS(C41)&gt;0.01</x:formula>
    </x:cfRule>
  </x:conditionalFormatting>
  <x:conditionalFormatting sqref="C42:C42">
    <x:cfRule type="expression" dxfId="1" priority="2">
      <x:formula>ABS(C42)&gt;0.01</x:formula>
    </x:cfRule>
  </x:conditionalFormatting>
  <x:pageMargins left="0.7" right="0.7" top="0.75" bottom="0.75" header="0.3" footer="0.3"/>
  <x:drawing xmlns:r="http://schemas.openxmlformats.org/officeDocument/2006/relationships" r:id="Rb9d8b536a9614ad3"/>
</x:worksheet>
</file>

<file path=xl/worksheets/sheet2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2.2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3" customHeight="1">
      <x:c r="A7" s="2"/>
      <x:c r="B7" s="2" t="str">
        <x:v>Indfrielse pr. 100 nominel</x:v>
      </x:c>
      <x:c r="C7" s="9" t="n">
        <x:v>100</x:v>
      </x:c>
      <x:c r="D7" s="2"/>
      <x:c r="E7" s="2"/>
      <x:c r="F7" s="2"/>
      <x:c r="G7" s="2"/>
      <x:c r="H7" s="2"/>
      <x:c r="I7" s="2"/>
    </x:row>
    <x:row r="8" ht="23" customHeight="1">
      <x:c r="A8" s="2"/>
      <x:c r="B8" s="2" t="str">
        <x:v>År til udløb (fast)</x:v>
      </x:c>
      <x:c r="C8" s="14" t="n">
        <x:v>5</x:v>
      </x:c>
      <x:c r="D8" s="2"/>
      <x:c r="E8" s="2"/>
      <x:c r="F8" s="2"/>
      <x:c r="G8" s="2"/>
      <x:c r="H8" s="2"/>
      <x:c r="I8" s="2"/>
    </x:row>
    <x:row r="9" ht="23" customHeight="1">
      <x:c r="A9" s="2"/>
      <x:c r="B9" s="2" t="str">
        <x:v>Købskurs</x:v>
      </x:c>
      <x:c r="C9" s="9" t="n">
        <x:v>90.57</x:v>
      </x:c>
      <x:c r="D9" s="2"/>
      <x:c r="E9" s="2"/>
      <x:c r="F9" s="2"/>
      <x:c r="G9" s="2"/>
      <x:c r="H9" s="2"/>
      <x:c r="I9" s="2"/>
    </x:row>
    <x:row r="10" ht="23" customHeight="1">
      <x:c r="A10" s="2"/>
      <x:c r="B10" s="2" t="str">
        <x:v>Nominel beholdning, kr.</x:v>
      </x:c>
      <x:c r="C10" s="9" t="n">
        <x:v>250000</x:v>
      </x:c>
      <x:c r="D10" s="2"/>
      <x:c r="E10" s="2"/>
      <x:c r="F10" s="2"/>
      <x:c r="G10" s="2"/>
      <x:c r="H10" s="2"/>
      <x:c r="I10" s="2"/>
    </x:row>
    <x:row r="11" ht="23" customHeight="1">
      <x:c r="A11" s="2"/>
      <x:c r="B11" s="2" t="str">
        <x:v>Ny årlig rente i (c)</x:v>
      </x:c>
      <x:c r="C11" s="12" t="n">
        <x:v>0.03</x:v>
      </x:c>
      <x:c r="D11" s="2"/>
      <x:c r="E11" s="2"/>
      <x:c r="F11" s="2"/>
      <x:c r="G11" s="2"/>
      <x:c r="H11" s="2"/>
      <x:c r="I11" s="2"/>
    </x:row>
    <x:row r="12" ht="23" customHeight="1">
      <x:c r="A12" s="2"/>
      <x:c r="B12" s="2" t="str">
        <x:v>År tilbage i (d) (fast)</x:v>
      </x:c>
      <x:c r="C12" s="14" t="n">
        <x:v>3</x:v>
      </x:c>
      <x:c r="D12" s="2"/>
      <x:c r="E12" s="2"/>
      <x:c r="F12" s="2"/>
      <x:c r="G12" s="2"/>
      <x:c r="H12" s="2"/>
      <x:c r="I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3" customHeight="1">
      <x:c r="A15" s="2"/>
      <x:c r="B15" s="2" t="str">
        <x:v>(a) Samlet vækstfaktor</x:v>
      </x:c>
      <x:c r="C15" s="27" t="n">
        <x:f>C7/C9</x:f>
        <x:v>1.1041183614883516</x:v>
      </x:c>
      <x:c r="D15" s="2"/>
      <x:c r="E15" s="16" t="str">
        <x:v>Indfrielse / købspris</x:v>
      </x:c>
      <x:c r="F15" s="16"/>
      <x:c r="G15" s="16"/>
      <x:c r="H15" s="16"/>
      <x:c r="I15" s="2"/>
    </x:row>
    <x:row r="16" ht="23" customHeight="1">
      <x:c r="A16" s="2"/>
      <x:c r="B16" s="2" t="str">
        <x:v>Årlig vækstfaktor</x:v>
      </x:c>
      <x:c r="C16" s="27" t="n">
        <x:f>C15^(1/C8)</x:f>
        <x:v>1.0200069395161546</x:v>
      </x:c>
      <x:c r="D16" s="2"/>
      <x:c r="E16" s="16" t="str">
        <x:v>Femteroden fordeler væksten over fem år.</x:v>
      </x:c>
      <x:c r="F16" s="16"/>
      <x:c r="G16" s="16"/>
      <x:c r="H16" s="16"/>
      <x:c r="I16" s="2"/>
    </x:row>
    <x:row r="17" ht="23" customHeight="1">
      <x:c r="A17" s="2"/>
      <x:c r="B17" s="19" t="str">
        <x:v>Effektiv årlig rente</x:v>
      </x:c>
      <x:c r="C17" s="32" t="n">
        <x:f>C16-1</x:f>
        <x:v>0.02000693951615462</x:v>
      </x:c>
      <x:c r="D17" s="2"/>
      <x:c r="E17" s="2"/>
      <x:c r="F17" s="2"/>
      <x:c r="G17" s="2"/>
      <x:c r="H17" s="2"/>
      <x:c r="I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3" customHeight="1">
      <x:c r="A19" s="2"/>
      <x:c r="B19" s="2" t="str">
        <x:v>(b) Kursværdi, kr.</x:v>
      </x:c>
      <x:c r="C19" s="15" t="n">
        <x:f>C10*C9/100</x:f>
        <x:v>226425</x:v>
      </x:c>
      <x:c r="D19" s="2"/>
      <x:c r="E19" s="2"/>
      <x:c r="F19" s="2"/>
      <x:c r="G19" s="2"/>
      <x:c r="H19" s="2"/>
      <x:c r="I19" s="2"/>
    </x:row>
    <x:row r="20" ht="23" customHeight="1">
      <x:c r="A20" s="2"/>
      <x:c r="B20" s="2" t="str">
        <x:v>Vedhængende rente, kr.</x:v>
      </x:c>
      <x:c r="C20" s="15" t="n">
        <x:f>0</x:f>
        <x:v>0</x:v>
      </x:c>
      <x:c r="D20" s="2"/>
      <x:c r="E20" s="16" t="str">
        <x:v>Ingen kuponer at fordele mellem køber og sælger.</x:v>
      </x:c>
      <x:c r="F20" s="16"/>
      <x:c r="G20" s="16"/>
      <x:c r="H20" s="16"/>
      <x:c r="I20" s="2"/>
    </x:row>
    <x:row r="21" ht="23" customHeight="1">
      <x:c r="A21" s="2"/>
      <x:c r="B21" s="2" t="str">
        <x:v>Dirty afregning, kr.</x:v>
      </x:c>
      <x:c r="C21" s="15" t="n">
        <x:f>SUM(C19:C20)</x:f>
        <x:v>226425</x:v>
      </x:c>
      <x:c r="D21" s="2"/>
      <x:c r="E21" s="2"/>
      <x:c r="F21" s="2"/>
      <x:c r="G21" s="2"/>
      <x:c r="H21" s="2"/>
      <x:c r="I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3" customHeight="1">
      <x:c r="A23" s="2"/>
      <x:c r="B23" s="2" t="str">
        <x:v>(c) Ny kurs</x:v>
      </x:c>
      <x:c r="C23" s="15" t="n">
        <x:f>C7/(1+C11)^C8</x:f>
        <x:v>86.2608784384164</x:v>
      </x:c>
      <x:c r="D23" s="2"/>
      <x:c r="E23" s="2"/>
      <x:c r="F23" s="2"/>
      <x:c r="G23" s="2"/>
      <x:c r="H23" s="2"/>
      <x:c r="I23" s="2"/>
    </x:row>
    <x:row r="24" ht="23" customHeight="1">
      <x:c r="A24" s="2"/>
      <x:c r="B24" s="2" t="str">
        <x:v>Kursændring, point</x:v>
      </x:c>
      <x:c r="C24" s="15" t="n">
        <x:f>C23-C9</x:f>
        <x:v>-4.309121561583595</x:v>
      </x:c>
      <x:c r="D24" s="2"/>
      <x:c r="E24" s="2"/>
      <x:c r="F24" s="2"/>
      <x:c r="G24" s="2"/>
      <x:c r="H24" s="2"/>
      <x:c r="I24" s="2"/>
    </x:row>
    <x:row r="25" ht="23" customHeight="1">
      <x:c r="A25" s="2"/>
      <x:c r="B25" s="2" t="str">
        <x:v>(d) Kurs med 3 år tilbage</x:v>
      </x:c>
      <x:c r="C25" s="15" t="n">
        <x:f>C7/(1+C17)^C12</x:f>
        <x:v>94.23031016879698</x:v>
      </x:c>
      <x:c r="D25" s="2"/>
      <x:c r="E25" s="2"/>
      <x:c r="F25" s="2"/>
      <x:c r="G25" s="2"/>
      <x:c r="H25" s="2"/>
      <x:c r="I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3" customHeight="1">
      <x:c r="A28" s="2"/>
      <x:c r="B28" s="16" t="str">
        <x:v>(c) Højere markedsrente kræver lavere pris på de samme fremtidige 100 kr.</x:v>
      </x:c>
      <x:c r="C28" s="16"/>
      <x:c r="D28" s="16"/>
      <x:c r="E28" s="16"/>
      <x:c r="F28" s="16"/>
      <x:c r="G28" s="16"/>
      <x:c r="H28" s="16"/>
      <x:c r="I28" s="2"/>
    </x:row>
    <x:row r="29" ht="23" customHeight="1">
      <x:c r="A29" s="2"/>
      <x:c r="B29" s="16" t="str">
        <x:v>(d) Ved uændret positiv rente stiger kursen mod indfrielsesværdien. Det er pull-to-par.</x:v>
      </x:c>
      <x:c r="C29" s="16"/>
      <x:c r="D29" s="16"/>
      <x:c r="E29" s="16"/>
      <x:c r="F29" s="16"/>
      <x:c r="G29" s="16"/>
      <x:c r="H29" s="16"/>
      <x:c r="I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32" customHeight="1">
      <x:c r="A32" s="2"/>
      <x:c r="B32" s="25" t="str">
        <x:v>År siden køb</x:v>
      </x:c>
      <x:c r="C32" s="25" t="str">
        <x:v>Kurs</x:v>
      </x:c>
      <x:c r="D32" s="2"/>
      <x:c r="E32" s="2"/>
      <x:c r="F32" s="2"/>
      <x:c r="G32" s="2"/>
      <x:c r="H32" s="2"/>
      <x:c r="I32" s="2"/>
    </x:row>
    <x:row r="33" ht="23" customHeight="1">
      <x:c r="A33" s="2"/>
      <x:c r="B33" s="2" t="n">
        <x:v>0</x:v>
      </x:c>
      <x:c r="C33" s="15" t="n">
        <x:f>$C$7/(1+$C$17)^($C$8-B33)</x:f>
        <x:v>90.57000000000004</x:v>
      </x:c>
      <x:c r="D33" s="2"/>
      <x:c r="E33" s="2"/>
      <x:c r="F33" s="2"/>
      <x:c r="G33" s="2"/>
      <x:c r="H33" s="2"/>
      <x:c r="I33" s="2"/>
    </x:row>
    <x:row r="34" ht="23" customHeight="1">
      <x:c r="A34" s="2"/>
      <x:c r="B34" s="2" t="n">
        <x:v>1</x:v>
      </x:c>
      <x:c r="C34" s="15" t="n">
        <x:f>$C$7/(1+$C$17)^($C$8-B34)</x:f>
        <x:v>92.38202851197816</x:v>
      </x:c>
      <x:c r="D34" s="2"/>
      <x:c r="E34" s="2"/>
      <x:c r="F34" s="2"/>
      <x:c r="G34" s="2"/>
      <x:c r="H34" s="2"/>
      <x:c r="I34" s="2"/>
    </x:row>
    <x:row r="35" ht="23" customHeight="1">
      <x:c r="A35" s="2"/>
      <x:c r="B35" s="2" t="n">
        <x:v>2</x:v>
      </x:c>
      <x:c r="C35" s="15" t="n">
        <x:f>$C$7/(1+$C$17)^($C$8-B35)</x:f>
        <x:v>94.23031016879698</x:v>
      </x:c>
      <x:c r="D35" s="2"/>
      <x:c r="E35" s="2"/>
      <x:c r="F35" s="2"/>
      <x:c r="G35" s="2"/>
      <x:c r="H35" s="2"/>
      <x:c r="I35" s="2"/>
    </x:row>
    <x:row r="36" ht="23" customHeight="1">
      <x:c r="A36" s="2"/>
      <x:c r="B36" s="2" t="n">
        <x:v>3</x:v>
      </x:c>
      <x:c r="C36" s="15" t="n">
        <x:f>$C$7/(1+$C$17)^($C$8-B36)</x:f>
        <x:v>96.11557028493259</x:v>
      </x:c>
      <x:c r="D36" s="2"/>
      <x:c r="E36" s="2"/>
      <x:c r="F36" s="2"/>
      <x:c r="G36" s="2"/>
      <x:c r="H36" s="2"/>
      <x:c r="I36" s="2"/>
    </x:row>
    <x:row r="37" ht="23" customHeight="1">
      <x:c r="A37" s="2"/>
      <x:c r="B37" s="2" t="n">
        <x:v>4</x:v>
      </x:c>
      <x:c r="C37" s="15" t="n">
        <x:f>$C$7/(1+$C$17)^($C$8-B37)</x:f>
        <x:v>98.03854868618394</x:v>
      </x:c>
      <x:c r="D37" s="2"/>
      <x:c r="E37" s="2"/>
      <x:c r="F37" s="2"/>
      <x:c r="G37" s="2"/>
      <x:c r="H37" s="2"/>
      <x:c r="I37" s="2"/>
    </x:row>
    <x:row r="38" ht="23" customHeight="1">
      <x:c r="A38" s="2"/>
      <x:c r="B38" s="2" t="n">
        <x:v>5</x:v>
      </x:c>
      <x:c r="C38" s="15" t="n">
        <x:f>$C$7/(1+$C$17)^($C$8-B38)</x:f>
        <x:v>100</x:v>
      </x:c>
      <x:c r="D38" s="2"/>
      <x:c r="E38" s="2"/>
      <x:c r="F38" s="2"/>
      <x:c r="G38" s="2"/>
      <x:c r="H38" s="2"/>
      <x:c r="I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</x:row>
  </x:sheetData>
  <x:pageMargins left="0.7" right="0.7" top="0.75" bottom="0.75" header="0.3" footer="0.3"/>
  <x:drawing xmlns:r="http://schemas.openxmlformats.org/officeDocument/2006/relationships" r:id="Rfa8cab1c86074458"/>
</x:worksheet>
</file>

<file path=xl/worksheets/sheet3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2.3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3" customHeight="1">
      <x:c r="A7" s="2"/>
      <x:c r="B7" s="2" t="str">
        <x:v>Hovedstol pr. 100</x:v>
      </x:c>
      <x:c r="C7" s="9" t="n">
        <x:v>100</x:v>
      </x:c>
      <x:c r="D7" s="2"/>
      <x:c r="E7" s="2"/>
      <x:c r="F7" s="2"/>
      <x:c r="G7" s="2"/>
      <x:c r="H7" s="2"/>
      <x:c r="I7" s="2"/>
    </x:row>
    <x:row r="8" ht="23" customHeight="1">
      <x:c r="A8" s="2"/>
      <x:c r="B8" s="2" t="str">
        <x:v>Årlig kuponrente</x:v>
      </x:c>
      <x:c r="C8" s="12" t="n">
        <x:v>0.03</x:v>
      </x:c>
      <x:c r="D8" s="2"/>
      <x:c r="E8" s="2"/>
      <x:c r="F8" s="2"/>
      <x:c r="G8" s="2"/>
      <x:c r="H8" s="2"/>
      <x:c r="I8" s="2"/>
    </x:row>
    <x:row r="9" ht="23" customHeight="1">
      <x:c r="A9" s="2"/>
      <x:c r="B9" s="2" t="str">
        <x:v>År til udløb (fast)</x:v>
      </x:c>
      <x:c r="C9" s="14" t="n">
        <x:v>4</x:v>
      </x:c>
      <x:c r="D9" s="2"/>
      <x:c r="E9" s="2"/>
      <x:c r="F9" s="2"/>
      <x:c r="G9" s="2"/>
      <x:c r="H9" s="2"/>
      <x:c r="I9" s="2"/>
    </x:row>
    <x:row r="10" ht="23" customHeight="1">
      <x:c r="A10" s="2"/>
      <x:c r="B10" s="2" t="str">
        <x:v>Købskurs</x:v>
      </x:c>
      <x:c r="C10" s="9" t="n">
        <x:v>96.37</x:v>
      </x:c>
      <x:c r="D10" s="2"/>
      <x:c r="E10" s="2"/>
      <x:c r="F10" s="2"/>
      <x:c r="G10" s="2"/>
      <x:c r="H10" s="2"/>
      <x:c r="I10" s="2"/>
    </x:row>
    <x:row r="11" ht="23" customHeight="1">
      <x:c r="A11" s="2"/>
      <x:c r="B11" s="2" t="str">
        <x:v>Rente til indsættelse</x:v>
      </x:c>
      <x:c r="C11" s="12" t="n">
        <x:v>0.04</x:v>
      </x:c>
      <x:c r="D11" s="2"/>
      <x:c r="E11" s="2"/>
      <x:c r="F11" s="2"/>
      <x:c r="G11" s="2"/>
      <x:c r="H11" s="2"/>
      <x:c r="I11" s="2"/>
    </x:row>
    <x:row r="12" ht="23" customHeight="1">
      <x:c r="A12" s="2"/>
      <x:c r="B12" s="2" t="str">
        <x:v>(c) Nominel årsrente</x:v>
      </x:c>
      <x:c r="C12" s="12" t="n">
        <x:v>0.04</x:v>
      </x:c>
      <x:c r="D12" s="2"/>
      <x:c r="E12" s="2"/>
      <x:c r="F12" s="2"/>
      <x:c r="G12" s="2"/>
      <x:c r="H12" s="2"/>
      <x:c r="I12" s="2"/>
    </x:row>
    <x:row r="13" ht="23" customHeight="1">
      <x:c r="A13" s="2"/>
      <x:c r="B13" s="2" t="str">
        <x:v>Terminer i (c) (fast)</x:v>
      </x:c>
      <x:c r="C13" s="14" t="n">
        <x:v>4</x:v>
      </x:c>
      <x:c r="D13" s="2"/>
      <x:c r="E13" s="2"/>
      <x:c r="F13" s="2"/>
      <x:c r="G13" s="2"/>
      <x:c r="H13" s="2"/>
      <x:c r="I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3" customHeight="1">
      <x:c r="A15" s="2"/>
      <x:c r="B15" s="2" t="str">
        <x:v>Kupon pr. år</x:v>
      </x:c>
      <x:c r="C15" s="15" t="n">
        <x:f>C7*C8</x:f>
        <x:v>3</x:v>
      </x:c>
      <x:c r="D15" s="2"/>
      <x:c r="E15" s="2"/>
      <x:c r="F15" s="2"/>
      <x:c r="G15" s="2"/>
      <x:c r="H15" s="2"/>
      <x:c r="I15" s="2"/>
    </x:row>
    <x:row r="16" ht="23" customHeight="1">
      <x:c r="A16" s="2"/>
      <x:c r="B16" s="2" t="str">
        <x:v>(a) Eksakt effektiv rente</x:v>
      </x:c>
      <x:c r="C16" s="29" t="n">
        <x:f>RATE(C9,C15,-C10,C7)</x:f>
        <x:v>0.0400002956137517</x:v>
      </x:c>
      <x:c r="D16" s="2"/>
      <x:c r="E16" s="16" t="str">
        <x:v>Købet er negativt; kuponer og indfrielse er positive.</x:v>
      </x:c>
      <x:c r="F16" s="16"/>
      <x:c r="G16" s="16"/>
      <x:c r="H16" s="16"/>
      <x:c r="I16" s="2"/>
    </x:row>
    <x:row r="17" ht="23" customHeight="1">
      <x:c r="A17" s="2"/>
      <x:c r="B17" s="2" t="str">
        <x:v>(c) Rente pr. termin</x:v>
      </x:c>
      <x:c r="C17" s="33" t="n">
        <x:f>C12/C13</x:f>
        <x:v>0.01</x:v>
      </x:c>
      <x:c r="D17" s="2"/>
      <x:c r="E17" s="2"/>
      <x:c r="F17" s="2"/>
      <x:c r="G17" s="2"/>
      <x:c r="H17" s="2"/>
      <x:c r="I17" s="2"/>
    </x:row>
    <x:row r="18" ht="23" customHeight="1">
      <x:c r="A18" s="2"/>
      <x:c r="B18" s="2" t="str">
        <x:v>Effektiv årlig rente</x:v>
      </x:c>
      <x:c r="C18" s="35" t="n">
        <x:f>(1+C17)^C13-1</x:f>
        <x:v>0.040604010000000024</x:v>
      </x:c>
      <x:c r="D18" s="2"/>
      <x:c r="E18" s="2"/>
      <x:c r="F18" s="2"/>
      <x:c r="G18" s="2"/>
      <x:c r="H18" s="2"/>
      <x:c r="I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32" customHeight="1">
      <x:c r="A22" s="2"/>
      <x:c r="B22" s="25" t="str">
        <x:v>År</x:v>
      </x:c>
      <x:c r="C22" s="25" t="str">
        <x:v>Kupon</x:v>
      </x:c>
      <x:c r="D22" s="25" t="str">
        <x:v>Hovedstol</x:v>
      </x:c>
      <x:c r="E22" s="25" t="str">
        <x:v>Betaling i alt</x:v>
      </x:c>
      <x:c r="F22" s="25" t="str">
        <x:v>Diskonteringsled</x:v>
      </x:c>
      <x:c r="G22" s="25" t="str">
        <x:v>PV ved prøverente</x:v>
      </x:c>
      <x:c r="H22" s="25" t="str">
        <x:v>PV ved eksakt y</x:v>
      </x:c>
      <x:c r="I22" s="2"/>
    </x:row>
    <x:row r="23" ht="23" customHeight="1">
      <x:c r="A23" s="2"/>
      <x:c r="B23" s="2" t="n">
        <x:v>1</x:v>
      </x:c>
      <x:c r="C23" s="15" t="n">
        <x:f>$C$15</x:f>
        <x:v>3</x:v>
      </x:c>
      <x:c r="D23" s="15" t="n">
        <x:f>IF(B23=$C$9,$C$7,0)</x:f>
        <x:v>0</x:v>
      </x:c>
      <x:c r="E23" s="15" t="n">
        <x:f>SUM(C23:D23)</x:f>
        <x:v>3</x:v>
      </x:c>
      <x:c r="F23" s="27" t="n">
        <x:f>(1+$C$11)^B23</x:f>
        <x:v>1.04</x:v>
      </x:c>
      <x:c r="G23" s="37" t="n">
        <x:f>E23/F23</x:f>
        <x:v>2.8846153846153846</x:v>
      </x:c>
      <x:c r="H23" s="37" t="n">
        <x:f>E23/(1+$C$16)^B23</x:f>
        <x:v>2.884614564681025</x:v>
      </x:c>
      <x:c r="I23" s="2"/>
    </x:row>
    <x:row r="24" ht="23" customHeight="1">
      <x:c r="A24" s="2"/>
      <x:c r="B24" s="2" t="n">
        <x:v>2</x:v>
      </x:c>
      <x:c r="C24" s="15" t="n">
        <x:f>$C$15</x:f>
        <x:v>3</x:v>
      </x:c>
      <x:c r="D24" s="15" t="n">
        <x:f>IF(B24=$C$9,$C$7,0)</x:f>
        <x:v>0</x:v>
      </x:c>
      <x:c r="E24" s="15" t="n">
        <x:f>SUM(C24:D24)</x:f>
        <x:v>3</x:v>
      </x:c>
      <x:c r="F24" s="27" t="n">
        <x:f>(1+$C$11)^B24</x:f>
        <x:v>1.0816000000000001</x:v>
      </x:c>
      <x:c r="G24" s="37" t="n">
        <x:f>E24/F24</x:f>
        <x:v>2.773668639053254</x:v>
      </x:c>
      <x:c r="H24" s="37" t="n">
        <x:f>E24/(1+$C$16)^B24</x:f>
        <x:v>2.7736670622566333</x:v>
      </x:c>
      <x:c r="I24" s="2"/>
    </x:row>
    <x:row r="25" ht="23" customHeight="1">
      <x:c r="A25" s="2"/>
      <x:c r="B25" s="2" t="n">
        <x:v>3</x:v>
      </x:c>
      <x:c r="C25" s="15" t="n">
        <x:f>$C$15</x:f>
        <x:v>3</x:v>
      </x:c>
      <x:c r="D25" s="15" t="n">
        <x:f>IF(B25=$C$9,$C$7,0)</x:f>
        <x:v>0</x:v>
      </x:c>
      <x:c r="E25" s="15" t="n">
        <x:f>SUM(C25:D25)</x:f>
        <x:v>3</x:v>
      </x:c>
      <x:c r="F25" s="27" t="n">
        <x:f>(1+$C$11)^B25</x:f>
        <x:v>1.124864</x:v>
      </x:c>
      <x:c r="G25" s="37" t="n">
        <x:f>E25/F25</x:f>
        <x:v>2.6669890760127446</x:v>
      </x:c>
      <x:c r="H25" s="37" t="n">
        <x:f>E25/(1+$C$16)^B25</x:f>
        <x:v>2.6669868017871727</x:v>
      </x:c>
      <x:c r="I25" s="2"/>
    </x:row>
    <x:row r="26" ht="23" customHeight="1">
      <x:c r="A26" s="2"/>
      <x:c r="B26" s="2" t="n">
        <x:v>4</x:v>
      </x:c>
      <x:c r="C26" s="15" t="n">
        <x:f>$C$15</x:f>
        <x:v>3</x:v>
      </x:c>
      <x:c r="D26" s="15" t="n">
        <x:f>IF(B26=$C$9,$C$7,0)</x:f>
        <x:v>100</x:v>
      </x:c>
      <x:c r="E26" s="15" t="n">
        <x:f>SUM(C26:D26)</x:f>
        <x:v>103</x:v>
      </x:c>
      <x:c r="F26" s="27" t="n">
        <x:f>(1+$C$11)^B26</x:f>
        <x:v>1.1698585600000002</x:v>
      </x:c>
      <x:c r="G26" s="37" t="n">
        <x:f>E26/F26</x:f>
        <x:v>88.04483167606175</x:v>
      </x:c>
      <x:c r="H26" s="37" t="n">
        <x:f>E26/(1+$C$16)^B26</x:f>
        <x:v>88.04473157127516</x:v>
      </x:c>
      <x:c r="I26" s="2"/>
    </x:row>
    <x:row r="27" ht="23" customHeight="1">
      <x:c r="A27" s="2"/>
      <x:c r="B27" s="19" t="str">
        <x:v>Sum af nutidsværdier</x:v>
      </x:c>
      <x:c r="C27" s="19"/>
      <x:c r="D27" s="19"/>
      <x:c r="E27" s="19"/>
      <x:c r="F27" s="19"/>
      <x:c r="G27" s="40" t="n">
        <x:f>SUM(G23:G26)</x:f>
        <x:v>96.37010477574313</x:v>
      </x:c>
      <x:c r="H27" s="40" t="n">
        <x:f>SUM(H23:H26)</x:f>
        <x:v>96.36999999999999</x:v>
      </x:c>
      <x:c r="I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2"/>
      <x:c r="B29" s="16" t="str">
        <x:v>(a) Med opgavens oprindelige input giver 4 % en kurs på 96,37010, afrundet 96,37.</x:v>
      </x:c>
      <x:c r="C29" s="16"/>
      <x:c r="D29" s="16"/>
      <x:c r="E29" s="16"/>
      <x:c r="F29" s="16"/>
      <x:c r="G29" s="16"/>
      <x:c r="H29" s="16"/>
      <x:c r="I29" s="2"/>
    </x:row>
    <x:row r="30" ht="23" customHeight="1">
      <x:c r="A30" s="2"/>
      <x:c r="B30" s="16" t="str">
        <x:v>(b) Køb under pari giver en kursgevinst ud over kuponerne. Effektiv rente er derfor over kuponrenten.</x:v>
      </x:c>
      <x:c r="C30" s="16"/>
      <x:c r="D30" s="16"/>
      <x:c r="E30" s="16"/>
      <x:c r="F30" s="16"/>
      <x:c r="G30" s="16"/>
      <x:c r="H30" s="16"/>
      <x:c r="I30" s="2"/>
    </x:row>
    <x:row r="31" ht="23" customHeight="1">
      <x:c r="A31" s="2"/>
      <x:c r="B31" s="16" t="str">
        <x:v>Målsøgning: sæt G27 til C10’s købskurs ved at ændre C11. RATE i C16 finder løsningen direkte.</x:v>
      </x:c>
      <x:c r="C31" s="16"/>
      <x:c r="D31" s="16"/>
      <x:c r="E31" s="16"/>
      <x:c r="F31" s="16"/>
      <x:c r="G31" s="16"/>
      <x:c r="H31" s="16"/>
      <x:c r="I31" s="2"/>
    </x:row>
    <x:row r="32" ht="23" customHeight="1">
      <x:c r="A32" s="2"/>
      <x:c r="B32" s="16" t="str">
        <x:v>(c) Sammenlign på samme grundlag: omregn nominel årsrente til effektiv årsrente.</x:v>
      </x:c>
      <x:c r="C32" s="16"/>
      <x:c r="D32" s="16"/>
      <x:c r="E32" s="16"/>
      <x:c r="F32" s="16"/>
      <x:c r="G32" s="16"/>
      <x:c r="H32" s="16"/>
      <x:c r="I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32" customHeight="1">
      <x:c r="A35" s="2"/>
      <x:c r="B35" s="25" t="str">
        <x:v>Kvartal</x:v>
      </x:c>
      <x:c r="C35" s="25" t="str">
        <x:v>Saldo før</x:v>
      </x:c>
      <x:c r="D35" s="25" t="str">
        <x:v>Rente i kvartalet</x:v>
      </x:c>
      <x:c r="E35" s="25" t="str">
        <x:v>Saldo efter</x:v>
      </x:c>
      <x:c r="F35" s="2"/>
      <x:c r="G35" s="2"/>
      <x:c r="H35" s="2"/>
      <x:c r="I35" s="2"/>
    </x:row>
    <x:row r="36" ht="23" customHeight="1">
      <x:c r="A36" s="2"/>
      <x:c r="B36" s="2" t="n">
        <x:v>1</x:v>
      </x:c>
      <x:c r="C36" s="15" t="n">
        <x:f>$C$7</x:f>
        <x:v>100</x:v>
      </x:c>
      <x:c r="D36" s="27" t="n">
        <x:f>C36*$C$17</x:f>
        <x:v>1</x:v>
      </x:c>
      <x:c r="E36" s="27" t="n">
        <x:f>SUM(C36:D36)</x:f>
        <x:v>101</x:v>
      </x:c>
      <x:c r="F36" s="2"/>
      <x:c r="G36" s="2"/>
      <x:c r="H36" s="2"/>
      <x:c r="I36" s="2"/>
    </x:row>
    <x:row r="37" ht="23" customHeight="1">
      <x:c r="A37" s="2"/>
      <x:c r="B37" s="2" t="n">
        <x:v>2</x:v>
      </x:c>
      <x:c r="C37" s="15" t="n">
        <x:f>E36</x:f>
        <x:v>101</x:v>
      </x:c>
      <x:c r="D37" s="27" t="n">
        <x:f>C37*$C$17</x:f>
        <x:v>1.01</x:v>
      </x:c>
      <x:c r="E37" s="27" t="n">
        <x:f>SUM(C37:D37)</x:f>
        <x:v>102.01</x:v>
      </x:c>
      <x:c r="F37" s="2"/>
      <x:c r="G37" s="2"/>
      <x:c r="H37" s="2"/>
      <x:c r="I37" s="2"/>
    </x:row>
    <x:row r="38" ht="23" customHeight="1">
      <x:c r="A38" s="2"/>
      <x:c r="B38" s="2" t="n">
        <x:v>3</x:v>
      </x:c>
      <x:c r="C38" s="15" t="n">
        <x:f>E37</x:f>
        <x:v>102.01</x:v>
      </x:c>
      <x:c r="D38" s="27" t="n">
        <x:f>C38*$C$17</x:f>
        <x:v>1.0201</x:v>
      </x:c>
      <x:c r="E38" s="27" t="n">
        <x:f>SUM(C38:D38)</x:f>
        <x:v>103.0301</x:v>
      </x:c>
      <x:c r="F38" s="2"/>
      <x:c r="G38" s="2"/>
      <x:c r="H38" s="2"/>
      <x:c r="I38" s="2"/>
    </x:row>
    <x:row r="39" ht="23" customHeight="1">
      <x:c r="A39" s="2"/>
      <x:c r="B39" s="2" t="n">
        <x:v>4</x:v>
      </x:c>
      <x:c r="C39" s="15" t="n">
        <x:f>E38</x:f>
        <x:v>103.0301</x:v>
      </x:c>
      <x:c r="D39" s="27" t="n">
        <x:f>C39*$C$17</x:f>
        <x:v>1.0303010000000001</x:v>
      </x:c>
      <x:c r="E39" s="27" t="n">
        <x:f>SUM(C39:D39)</x:f>
        <x:v>104.060401</x:v>
      </x:c>
      <x:c r="F39" s="2"/>
      <x:c r="G39" s="2"/>
      <x:c r="H39" s="2"/>
      <x:c r="I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3" customHeight="1">
      <x:c r="A42" s="2"/>
      <x:c r="B42" s="2" t="str">
        <x:v>Kontrol: årlig vækst</x:v>
      </x:c>
      <x:c r="C42" s="35" t="n">
        <x:f>E39/C7-1</x:f>
        <x:v>0.040604010000000024</x:v>
      </x:c>
      <x:c r="D42" s="2"/>
      <x:c r="E42" s="2"/>
      <x:c r="F42" s="2"/>
      <x:c r="G42" s="2"/>
      <x:c r="H42" s="2"/>
      <x:c r="I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3" customHeight="1">
      <x:c r="A44" s="2"/>
      <x:c r="B44" s="16" t="str">
        <x:v>Renters rente: den første kvartalsrente tjener også rente i de følgende kvartaler.</x:v>
      </x:c>
      <x:c r="C44" s="16"/>
      <x:c r="D44" s="16"/>
      <x:c r="E44" s="16"/>
      <x:c r="F44" s="16"/>
      <x:c r="G44" s="16"/>
      <x:c r="H44" s="16"/>
      <x:c r="I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2.4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3" customHeight="1">
      <x:c r="A7" s="2"/>
      <x:c r="B7" s="2" t="str">
        <x:v>Nominel beholdning, kr.</x:v>
      </x:c>
      <x:c r="C7" s="9" t="n">
        <x:v>1000000</x:v>
      </x:c>
      <x:c r="D7" s="2"/>
      <x:c r="E7" s="2"/>
      <x:c r="F7" s="2"/>
      <x:c r="G7" s="2"/>
      <x:c r="H7" s="2"/>
      <x:c r="I7" s="2"/>
    </x:row>
    <x:row r="8" ht="23" customHeight="1">
      <x:c r="A8" s="2"/>
      <x:c r="B8" s="2" t="str">
        <x:v>Årlig kuponrente</x:v>
      </x:c>
      <x:c r="C8" s="12" t="n">
        <x:v>0.02</x:v>
      </x:c>
      <x:c r="D8" s="2"/>
      <x:c r="E8" s="2"/>
      <x:c r="F8" s="2"/>
      <x:c r="G8" s="2"/>
      <x:c r="H8" s="2"/>
      <x:c r="I8" s="2"/>
    </x:row>
    <x:row r="9" ht="23" customHeight="1">
      <x:c r="A9" s="2"/>
      <x:c r="B9" s="2" t="str">
        <x:v>Terminer pr. år (fast)</x:v>
      </x:c>
      <x:c r="C9" s="14" t="n">
        <x:v>4</x:v>
      </x:c>
      <x:c r="D9" s="2"/>
      <x:c r="E9" s="2"/>
      <x:c r="F9" s="2"/>
      <x:c r="G9" s="2"/>
      <x:c r="H9" s="2"/>
      <x:c r="I9" s="2"/>
    </x:row>
    <x:row r="10" ht="23" customHeight="1">
      <x:c r="A10" s="2"/>
      <x:c r="B10" s="2" t="str">
        <x:v>Clean kurs</x:v>
      </x:c>
      <x:c r="C10" s="9" t="n">
        <x:v>98.45</x:v>
      </x:c>
      <x:c r="D10" s="2"/>
      <x:c r="E10" s="2"/>
      <x:c r="F10" s="2"/>
      <x:c r="G10" s="2"/>
      <x:c r="H10" s="2"/>
      <x:c r="I10" s="2"/>
    </x:row>
    <x:row r="11" ht="23" customHeight="1">
      <x:c r="A11" s="2"/>
      <x:c r="B11" s="2" t="str">
        <x:v>Forløbne dage, D</x:v>
      </x:c>
      <x:c r="C11" s="42" t="n">
        <x:v>50</x:v>
      </x:c>
      <x:c r="D11" s="2"/>
      <x:c r="E11" s="2"/>
      <x:c r="F11" s="2"/>
      <x:c r="G11" s="2"/>
      <x:c r="H11" s="2"/>
      <x:c r="I11" s="2"/>
    </x:row>
    <x:row r="12" ht="23" customHeight="1">
      <x:c r="A12" s="2"/>
      <x:c r="B12" s="2" t="str">
        <x:v>Dage i perioden, DT</x:v>
      </x:c>
      <x:c r="C12" s="42" t="n">
        <x:v>90</x:v>
      </x:c>
      <x:c r="D12" s="2"/>
      <x:c r="E12" s="2"/>
      <x:c r="F12" s="2"/>
      <x:c r="G12" s="2"/>
      <x:c r="H12" s="2"/>
      <x:c r="I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3" customHeight="1">
      <x:c r="A15" s="2"/>
      <x:c r="B15" s="2" t="str">
        <x:v>(b) Kupon pr. termin, kr.</x:v>
      </x:c>
      <x:c r="C15" s="15" t="n">
        <x:f>C7*C8/C9</x:f>
        <x:v>5000</x:v>
      </x:c>
      <x:c r="D15" s="2"/>
      <x:c r="E15" s="2"/>
      <x:c r="F15" s="2"/>
      <x:c r="G15" s="2"/>
      <x:c r="H15" s="2"/>
      <x:c r="I15" s="2"/>
    </x:row>
    <x:row r="16" ht="23" customHeight="1">
      <x:c r="A16" s="2"/>
      <x:c r="B16" s="2" t="str">
        <x:v>Optjent andel af perioden</x:v>
      </x:c>
      <x:c r="C16" s="27" t="n">
        <x:f>C11/C12</x:f>
        <x:v>0.5555555555555556</x:v>
      </x:c>
      <x:c r="D16" s="2"/>
      <x:c r="E16" s="2"/>
      <x:c r="F16" s="2"/>
      <x:c r="G16" s="2"/>
      <x:c r="H16" s="2"/>
      <x:c r="I16" s="2"/>
    </x:row>
    <x:row r="17" ht="23" customHeight="1">
      <x:c r="A17" s="2"/>
      <x:c r="B17" s="2" t="str">
        <x:v>Vedhængende rente, kr.</x:v>
      </x:c>
      <x:c r="C17" s="15" t="n">
        <x:f>C15*C16</x:f>
        <x:v>2777.777777777778</x:v>
      </x:c>
      <x:c r="D17" s="2"/>
      <x:c r="E17" s="2"/>
      <x:c r="F17" s="2"/>
      <x:c r="G17" s="2"/>
      <x:c r="H17" s="2"/>
      <x:c r="I17" s="2"/>
    </x:row>
    <x:row r="18" ht="23" customHeight="1">
      <x:c r="A18" s="2"/>
      <x:c r="B18" s="2" t="str">
        <x:v>Vedhængende, kurspoint</x:v>
      </x:c>
      <x:c r="C18" s="27" t="n">
        <x:f>C17/C7*100</x:f>
        <x:v>0.2777777777777778</x:v>
      </x:c>
      <x:c r="D18" s="2"/>
      <x:c r="E18" s="2"/>
      <x:c r="F18" s="2"/>
      <x:c r="G18" s="2"/>
      <x:c r="H18" s="2"/>
      <x:c r="I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3" customHeight="1">
      <x:c r="A20" s="2"/>
      <x:c r="B20" s="2" t="str">
        <x:v>(c) Clean kursværdi, kr.</x:v>
      </x:c>
      <x:c r="C20" s="15" t="n">
        <x:f>C7*C10/100</x:f>
        <x:v>984500</x:v>
      </x:c>
      <x:c r="D20" s="2"/>
      <x:c r="E20" s="2"/>
      <x:c r="F20" s="2"/>
      <x:c r="G20" s="2"/>
      <x:c r="H20" s="2"/>
      <x:c r="I20" s="2"/>
    </x:row>
    <x:row r="21" ht="23" customHeight="1">
      <x:c r="A21" s="2"/>
      <x:c r="B21" s="19" t="str">
        <x:v>Dirty afregning, kr.</x:v>
      </x:c>
      <x:c r="C21" s="20" t="n">
        <x:f>C20+C17</x:f>
        <x:v>987277.7777777778</x:v>
      </x:c>
      <x:c r="D21" s="2"/>
      <x:c r="E21" s="2"/>
      <x:c r="F21" s="2"/>
      <x:c r="G21" s="2"/>
      <x:c r="H21" s="2"/>
      <x:c r="I21" s="2"/>
    </x:row>
    <x:row r="22" ht="23" customHeight="1">
      <x:c r="A22" s="2"/>
      <x:c r="B22" s="2" t="str">
        <x:v>Dirty kurs</x:v>
      </x:c>
      <x:c r="C22" s="27" t="n">
        <x:f>C10+C18</x:f>
        <x:v>98.72777777777777</x:v>
      </x:c>
      <x:c r="D22" s="2"/>
      <x:c r="E22" s="2"/>
      <x:c r="F22" s="2"/>
      <x:c r="G22" s="2"/>
      <x:c r="H22" s="2"/>
      <x:c r="I22" s="2"/>
    </x:row>
    <x:row r="23" ht="23" customHeight="1">
      <x:c r="A23" s="2"/>
      <x:c r="B23" s="2" t="str">
        <x:v>Købers del af kuponen, kr.</x:v>
      </x:c>
      <x:c r="C23" s="15" t="n">
        <x:f>C15-C17</x:f>
        <x:v>2222.222222222222</x:v>
      </x:c>
      <x:c r="D23" s="2"/>
      <x:c r="E23" s="2"/>
      <x:c r="F23" s="2"/>
      <x:c r="G23" s="2"/>
      <x:c r="H23" s="2"/>
      <x:c r="I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3" customHeight="1">
      <x:c r="A25" s="2"/>
      <x:c r="B25" s="16" t="str">
        <x:v>(a) Handelsdag: aftalen indgås. Valørdag: penge og obligation udveksles.</x:v>
      </x:c>
      <x:c r="C25" s="16"/>
      <x:c r="D25" s="16"/>
      <x:c r="E25" s="16"/>
      <x:c r="F25" s="16"/>
      <x:c r="G25" s="16"/>
      <x:c r="H25" s="16"/>
      <x:c r="I25" s="2"/>
    </x:row>
    <x:row r="26" ht="23" customHeight="1">
      <x:c r="A26" s="2"/>
      <x:c r="B26" s="16" t="str">
        <x:v>Sælger kompenseres for den optjente del frem til valør, fordi køber får hele næste kupon.</x:v>
      </x:c>
      <x:c r="C26" s="16"/>
      <x:c r="D26" s="16"/>
      <x:c r="E26" s="16"/>
      <x:c r="F26" s="16"/>
      <x:c r="G26" s="16"/>
      <x:c r="H26" s="16"/>
      <x:c r="I26" s="2"/>
    </x:row>
    <x:row r="27" ht="23" customHeight="1">
      <x:c r="A27" s="2"/>
      <x:c r="B27" s="16" t="str">
        <x:v>(d) Faldet i dirty price ved termin modsvares af kuponen. Lavere pris efter termin er ikke en gratis gevinst.</x:v>
      </x:c>
      <x:c r="C27" s="16"/>
      <x:c r="D27" s="16"/>
      <x:c r="E27" s="16"/>
      <x:c r="F27" s="16"/>
      <x:c r="G27" s="16"/>
      <x:c r="H27" s="16"/>
      <x:c r="I27" s="2"/>
    </x:row>
    <x:row r="28" ht="23" customHeight="1">
      <x:c r="A28" s="2"/>
      <x:c r="B28" s="16" t="str">
        <x:v>Opgaven bruger D/DT af en regelmæssig kupon. D skal ligge mellem 0 og DT. DT skal være positiv.</x:v>
      </x:c>
      <x:c r="C28" s="16"/>
      <x:c r="D28" s="16"/>
      <x:c r="E28" s="16"/>
      <x:c r="F28" s="16"/>
      <x:c r="G28" s="16"/>
      <x:c r="H28" s="16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32" customHeight="1">
      <x:c r="A31" s="2"/>
      <x:c r="B31" s="25" t="str">
        <x:v>Andel af næste kupon</x:v>
      </x:c>
      <x:c r="C31" s="25" t="str">
        <x:v>Kr.</x:v>
      </x:c>
      <x:c r="D31" s="2"/>
      <x:c r="E31" s="2"/>
      <x:c r="F31" s="2"/>
      <x:c r="G31" s="2"/>
      <x:c r="H31" s="2"/>
      <x:c r="I31" s="2"/>
    </x:row>
    <x:row r="32" ht="23" customHeight="1">
      <x:c r="A32" s="2"/>
      <x:c r="B32" s="2" t="str">
        <x:v>Sælgers andel</x:v>
      </x:c>
      <x:c r="C32" s="15" t="n">
        <x:f>C17</x:f>
        <x:v>2777.777777777778</x:v>
      </x:c>
      <x:c r="D32" s="2"/>
      <x:c r="E32" s="2"/>
      <x:c r="F32" s="2"/>
      <x:c r="G32" s="2"/>
      <x:c r="H32" s="2"/>
      <x:c r="I32" s="2"/>
    </x:row>
    <x:row r="33" ht="23" customHeight="1">
      <x:c r="A33" s="2"/>
      <x:c r="B33" s="2" t="str">
        <x:v>Købers andel</x:v>
      </x:c>
      <x:c r="C33" s="15" t="n">
        <x:f>C23</x:f>
        <x:v>2222.222222222222</x:v>
      </x:c>
      <x:c r="D33" s="2"/>
      <x:c r="E33" s="2"/>
      <x:c r="F33" s="2"/>
      <x:c r="G33" s="2"/>
      <x:c r="H33" s="2"/>
      <x:c r="I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</x:row>
  </x:sheetData>
  <x:dataValidations count="2">
    <x:dataValidation type="whole" operator="between" sqref="C11">
      <x:formula1>0</x:formula1>
      <x:formula2>$C$12</x:formula2>
    </x:dataValidation>
    <x:dataValidation type="whole" operator="greaterThan" sqref="C12">
      <x:formula1>0</x:formula1>
    </x:dataValidation>
  </x:dataValidations>
  <x:pageMargins left="0.7" right="0.7" top="0.75" bottom="0.75" header="0.3" footer="0.3"/>
  <x:drawing xmlns:r="http://schemas.openxmlformats.org/officeDocument/2006/relationships" r:id="R48f5f82a6b944baf"/>
</x:worksheet>
</file>

<file path=xl/worksheets/sheet5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2.5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3" customHeight="1">
      <x:c r="A7" s="2"/>
      <x:c r="B7" s="2" t="str">
        <x:v>Hovedstol pr. 100</x:v>
      </x:c>
      <x:c r="C7" s="9" t="n">
        <x:v>100</x:v>
      </x:c>
      <x:c r="D7" s="2"/>
      <x:c r="E7" s="2"/>
      <x:c r="F7" s="2"/>
      <x:c r="G7" s="2"/>
      <x:c r="H7" s="2"/>
      <x:c r="I7" s="2"/>
    </x:row>
    <x:row r="8" ht="23" customHeight="1">
      <x:c r="A8" s="2"/>
      <x:c r="B8" s="2" t="str">
        <x:v>Årlig kuponrente</x:v>
      </x:c>
      <x:c r="C8" s="12" t="n">
        <x:v>0.05</x:v>
      </x:c>
      <x:c r="D8" s="2"/>
      <x:c r="E8" s="2"/>
      <x:c r="F8" s="2"/>
      <x:c r="G8" s="2"/>
      <x:c r="H8" s="2"/>
      <x:c r="I8" s="2"/>
    </x:row>
    <x:row r="9" ht="23" customHeight="1">
      <x:c r="A9" s="2"/>
      <x:c r="B9" s="2" t="str">
        <x:v>År fra start (fast)</x:v>
      </x:c>
      <x:c r="C9" s="14" t="n">
        <x:v>6</x:v>
      </x:c>
      <x:c r="D9" s="2"/>
      <x:c r="E9" s="2"/>
      <x:c r="F9" s="2"/>
      <x:c r="G9" s="2"/>
      <x:c r="H9" s="2"/>
      <x:c r="I9" s="2"/>
    </x:row>
    <x:row r="10" ht="23" customHeight="1">
      <x:c r="A10" s="2"/>
      <x:c r="B10" s="2" t="str">
        <x:v>Rente 1</x:v>
      </x:c>
      <x:c r="C10" s="12" t="n">
        <x:v>0.04</x:v>
      </x:c>
      <x:c r="D10" s="2"/>
      <x:c r="E10" s="2"/>
      <x:c r="F10" s="2"/>
      <x:c r="G10" s="2"/>
      <x:c r="H10" s="2"/>
      <x:c r="I10" s="2"/>
    </x:row>
    <x:row r="11" ht="23" customHeight="1">
      <x:c r="A11" s="2"/>
      <x:c r="B11" s="2" t="str">
        <x:v>Rente 2</x:v>
      </x:c>
      <x:c r="C11" s="12" t="n">
        <x:v>0.05</x:v>
      </x:c>
      <x:c r="D11" s="2"/>
      <x:c r="E11" s="2"/>
      <x:c r="F11" s="2"/>
      <x:c r="G11" s="2"/>
      <x:c r="H11" s="2"/>
      <x:c r="I11" s="2"/>
    </x:row>
    <x:row r="12" ht="23" customHeight="1">
      <x:c r="A12" s="2"/>
      <x:c r="B12" s="2" t="str">
        <x:v>Rente 3</x:v>
      </x:c>
      <x:c r="C12" s="12" t="n">
        <x:v>0.06</x:v>
      </x:c>
      <x:c r="D12" s="2"/>
      <x:c r="E12" s="2"/>
      <x:c r="F12" s="2"/>
      <x:c r="G12" s="2"/>
      <x:c r="H12" s="2"/>
      <x:c r="I12" s="2"/>
    </x:row>
    <x:row r="13" ht="23" customHeight="1">
      <x:c r="A13" s="2"/>
      <x:c r="B13" s="2" t="str">
        <x:v>År tilbage i (c) (fast)</x:v>
      </x:c>
      <x:c r="C13" s="14" t="n">
        <x:v>3</x:v>
      </x:c>
      <x:c r="D13" s="2"/>
      <x:c r="E13" s="2"/>
      <x:c r="F13" s="2"/>
      <x:c r="G13" s="2"/>
      <x:c r="H13" s="2"/>
      <x:c r="I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3" customHeight="1">
      <x:c r="A15" s="2"/>
      <x:c r="B15" s="2" t="str">
        <x:v>Årlig kupon</x:v>
      </x:c>
      <x:c r="C15" s="15" t="n">
        <x:f>C7*C8</x:f>
        <x:v>5</x:v>
      </x:c>
      <x:c r="D15" s="2"/>
      <x:c r="E15" s="2"/>
      <x:c r="F15" s="2"/>
      <x:c r="G15" s="2"/>
      <x:c r="H15" s="2"/>
      <x:c r="I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3" customHeight="1">
      <x:c r="A17" s="2"/>
      <x:c r="B17" s="16" t="str">
        <x:v>(a) Hver betaling diskonteres separat; summen er kursen. Rentecellerne kan ændres.</x:v>
      </x:c>
      <x:c r="C17" s="16"/>
      <x:c r="D17" s="16"/>
      <x:c r="E17" s="16"/>
      <x:c r="F17" s="16"/>
      <x:c r="G17" s="16"/>
      <x:c r="H17" s="16"/>
      <x:c r="I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32" customHeight="1">
      <x:c r="A19" s="2"/>
      <x:c r="B19" s="25" t="str">
        <x:v>År</x:v>
      </x:c>
      <x:c r="C19" s="25" t="str">
        <x:v>Betaling</x:v>
      </x:c>
      <x:c r="D19" s="25" t="str">
        <x:v>PV ved rente 1</x:v>
      </x:c>
      <x:c r="E19" s="25" t="str">
        <x:v>PV ved rente 2</x:v>
      </x:c>
      <x:c r="F19" s="25" t="str">
        <x:v>PV ved rente 3</x:v>
      </x:c>
      <x:c r="G19" s="2"/>
      <x:c r="H19" s="2"/>
      <x:c r="I19" s="2"/>
    </x:row>
    <x:row r="20" ht="23" customHeight="1">
      <x:c r="A20" s="2"/>
      <x:c r="B20" s="2" t="n">
        <x:v>1</x:v>
      </x:c>
      <x:c r="C20" s="15" t="n">
        <x:f>$C$15+IF(B20=$C$9,$C$7,0)</x:f>
        <x:v>5</x:v>
      </x:c>
      <x:c r="D20" s="37" t="n">
        <x:f>C20/(1+$C$10)^B20</x:f>
        <x:v>4.8076923076923075</x:v>
      </x:c>
      <x:c r="E20" s="37" t="n">
        <x:f>C20/(1+$C$11)^B20</x:f>
        <x:v>4.761904761904762</x:v>
      </x:c>
      <x:c r="F20" s="37" t="n">
        <x:f>C20/(1+$C$12)^B20</x:f>
        <x:v>4.716981132075471</x:v>
      </x:c>
      <x:c r="G20" s="2"/>
      <x:c r="H20" s="2"/>
      <x:c r="I20" s="2"/>
    </x:row>
    <x:row r="21" ht="23" customHeight="1">
      <x:c r="A21" s="2"/>
      <x:c r="B21" s="2" t="n">
        <x:v>2</x:v>
      </x:c>
      <x:c r="C21" s="15" t="n">
        <x:f>$C$15+IF(B21=$C$9,$C$7,0)</x:f>
        <x:v>5</x:v>
      </x:c>
      <x:c r="D21" s="37" t="n">
        <x:f>C21/(1+$C$10)^B21</x:f>
        <x:v>4.622781065088757</x:v>
      </x:c>
      <x:c r="E21" s="37" t="n">
        <x:f>C21/(1+$C$11)^B21</x:f>
        <x:v>4.535147392290249</x:v>
      </x:c>
      <x:c r="F21" s="37" t="n">
        <x:f>C21/(1+$C$12)^B21</x:f>
        <x:v>4.449982200071199</x:v>
      </x:c>
      <x:c r="G21" s="2"/>
      <x:c r="H21" s="2"/>
      <x:c r="I21" s="2"/>
    </x:row>
    <x:row r="22" ht="23" customHeight="1">
      <x:c r="A22" s="2"/>
      <x:c r="B22" s="2" t="n">
        <x:v>3</x:v>
      </x:c>
      <x:c r="C22" s="15" t="n">
        <x:f>$C$15+IF(B22=$C$9,$C$7,0)</x:f>
        <x:v>5</x:v>
      </x:c>
      <x:c r="D22" s="37" t="n">
        <x:f>C22/(1+$C$10)^B22</x:f>
        <x:v>4.444981793354574</x:v>
      </x:c>
      <x:c r="E22" s="37" t="n">
        <x:f>C22/(1+$C$11)^B22</x:f>
        <x:v>4.31918799265738</x:v>
      </x:c>
      <x:c r="F22" s="37" t="n">
        <x:f>C22/(1+$C$12)^B22</x:f>
        <x:v>4.198096415161509</x:v>
      </x:c>
      <x:c r="G22" s="2"/>
      <x:c r="H22" s="2"/>
      <x:c r="I22" s="2"/>
    </x:row>
    <x:row r="23" ht="23" customHeight="1">
      <x:c r="A23" s="2"/>
      <x:c r="B23" s="2" t="n">
        <x:v>4</x:v>
      </x:c>
      <x:c r="C23" s="15" t="n">
        <x:f>$C$15+IF(B23=$C$9,$C$7,0)</x:f>
        <x:v>5</x:v>
      </x:c>
      <x:c r="D23" s="37" t="n">
        <x:f>C23/(1+$C$10)^B23</x:f>
        <x:v>4.274020955148629</x:v>
      </x:c>
      <x:c r="E23" s="37" t="n">
        <x:f>C23/(1+$C$11)^B23</x:f>
        <x:v>4.113512373959409</x:v>
      </x:c>
      <x:c r="F23" s="37" t="n">
        <x:f>C23/(1+$C$12)^B23</x:f>
        <x:v>3.960468316190102</x:v>
      </x:c>
      <x:c r="G23" s="2"/>
      <x:c r="H23" s="2"/>
      <x:c r="I23" s="2"/>
    </x:row>
    <x:row r="24" ht="23" customHeight="1">
      <x:c r="A24" s="2"/>
      <x:c r="B24" s="2" t="n">
        <x:v>5</x:v>
      </x:c>
      <x:c r="C24" s="15" t="n">
        <x:f>$C$15+IF(B24=$C$9,$C$7,0)</x:f>
        <x:v>5</x:v>
      </x:c>
      <x:c r="D24" s="37" t="n">
        <x:f>C24/(1+$C$10)^B24</x:f>
        <x:v>4.109635533796759</x:v>
      </x:c>
      <x:c r="E24" s="37" t="n">
        <x:f>C24/(1+$C$11)^B24</x:f>
        <x:v>3.917630832342294</x:v>
      </x:c>
      <x:c r="F24" s="37" t="n">
        <x:f>C24/(1+$C$12)^B24</x:f>
        <x:v>3.736290864330285</x:v>
      </x:c>
      <x:c r="G24" s="2"/>
      <x:c r="H24" s="2"/>
      <x:c r="I24" s="2"/>
    </x:row>
    <x:row r="25" ht="23" customHeight="1">
      <x:c r="A25" s="2"/>
      <x:c r="B25" s="2" t="n">
        <x:v>6</x:v>
      </x:c>
      <x:c r="C25" s="15" t="n">
        <x:f>$C$15+IF(B25=$C$9,$C$7,0)</x:f>
        <x:v>105</x:v>
      </x:c>
      <x:c r="D25" s="37" t="n">
        <x:f>C25/(1+$C$10)^B25</x:f>
        <x:v>82.9830252016653</x:v>
      </x:c>
      <x:c r="E25" s="37" t="n">
        <x:f>C25/(1+$C$11)^B25</x:f>
        <x:v>78.35261664684587</x:v>
      </x:c>
      <x:c r="F25" s="37" t="n">
        <x:f>C25/(1+$C$12)^B25</x:f>
        <x:v>74.02085674616602</x:v>
      </x:c>
      <x:c r="G25" s="2"/>
      <x:c r="H25" s="2"/>
      <x:c r="I25" s="2"/>
    </x:row>
    <x:row r="26" ht="23" customHeight="1">
      <x:c r="A26" s="2"/>
      <x:c r="B26" s="19" t="str">
        <x:v>Kurs = sum af PV</x:v>
      </x:c>
      <x:c r="C26" s="19"/>
      <x:c r="D26" s="20" t="n">
        <x:f>SUM(D20:D25)</x:f>
        <x:v>105.24213685674633</x:v>
      </x:c>
      <x:c r="E26" s="20" t="n">
        <x:f>SUM(E20:E25)</x:f>
        <x:v>99.99999999999997</x:v>
      </x:c>
      <x:c r="F26" s="20" t="n">
        <x:f>SUM(F20:F25)</x:f>
        <x:v>95.08267567399459</x:v>
      </x:c>
      <x:c r="G26" s="2"/>
      <x:c r="H26" s="2"/>
      <x:c r="I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32" customHeight="1">
      <x:c r="A28" s="2"/>
      <x:c r="B28" s="25" t="str">
        <x:v>Effektiv rente</x:v>
      </x:c>
      <x:c r="C28" s="25" t="str">
        <x:v>Kurs</x:v>
      </x:c>
      <x:c r="D28" s="25" t="str">
        <x:v>Klassifikation</x:v>
      </x:c>
      <x:c r="E28" s="2"/>
      <x:c r="F28" s="2"/>
      <x:c r="G28" s="2"/>
      <x:c r="H28" s="2"/>
      <x:c r="I28" s="2"/>
    </x:row>
    <x:row r="29" ht="23" customHeight="1">
      <x:c r="A29" s="2"/>
      <x:c r="B29" s="33" t="n">
        <x:f>C10</x:f>
        <x:v>0.04</x:v>
      </x:c>
      <x:c r="C29" s="15" t="n">
        <x:f>D26</x:f>
        <x:v>105.24213685674633</x:v>
      </x:c>
      <x:c r="D29" s="45" t="str">
        <x:f>IF(ABS(C29-$C$7)&lt;0.000001,"Pari",IF(C29&gt;$C$7,"Præmie","Discount"))</x:f>
        <x:v>Præmie</x:v>
      </x:c>
      <x:c r="E29" s="2"/>
      <x:c r="F29" s="2"/>
      <x:c r="G29" s="2"/>
      <x:c r="H29" s="2"/>
      <x:c r="I29" s="2"/>
    </x:row>
    <x:row r="30" ht="23" customHeight="1">
      <x:c r="A30" s="2"/>
      <x:c r="B30" s="33" t="n">
        <x:f>C11</x:f>
        <x:v>0.05</x:v>
      </x:c>
      <x:c r="C30" s="15" t="n">
        <x:f>E26</x:f>
        <x:v>99.99999999999997</x:v>
      </x:c>
      <x:c r="D30" s="45" t="str">
        <x:f>IF(ABS(C30-$C$7)&lt;0.000001,"Pari",IF(C30&gt;$C$7,"Præmie","Discount"))</x:f>
        <x:v>Pari</x:v>
      </x:c>
      <x:c r="E30" s="2"/>
      <x:c r="F30" s="2"/>
      <x:c r="G30" s="2"/>
      <x:c r="H30" s="2"/>
      <x:c r="I30" s="2"/>
    </x:row>
    <x:row r="31" ht="23" customHeight="1">
      <x:c r="A31" s="2"/>
      <x:c r="B31" s="33" t="n">
        <x:f>C12</x:f>
        <x:v>0.06</x:v>
      </x:c>
      <x:c r="C31" s="15" t="n">
        <x:f>F26</x:f>
        <x:v>95.08267567399459</x:v>
      </x:c>
      <x:c r="D31" s="45" t="str">
        <x:f>IF(ABS(C31-$C$7)&lt;0.000001,"Pari",IF(C31&gt;$C$7,"Præmie","Discount"))</x:f>
        <x:v>Discount</x:v>
      </x:c>
      <x:c r="E31" s="2"/>
      <x:c r="F31" s="2"/>
      <x:c r="G31" s="2"/>
      <x:c r="H31" s="2"/>
      <x:c r="I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2"/>
      <x:c r="B34" s="2" t="str">
        <x:v>(c) Kurs med 3 år tilbage</x:v>
      </x:c>
      <x:c r="C34" s="15" t="n">
        <x:f>IF(C12=0,C15*C13+C7,C15*(1-(1+C12)^(-C13))/C12+C7/(1+C12)^C13)</x:f>
        <x:v>97.32698805053838</x:v>
      </x:c>
      <x:c r="D34" s="2"/>
      <x:c r="E34" s="2"/>
      <x:c r="F34" s="2"/>
      <x:c r="G34" s="2"/>
      <x:c r="H34" s="2"/>
      <x:c r="I34" s="2"/>
    </x:row>
    <x:row r="35" ht="23" customHeight="1">
      <x:c r="A35" s="2"/>
      <x:c r="B35" s="2" t="str">
        <x:v>Stigning fra kurs ved start</x:v>
      </x:c>
      <x:c r="C35" s="15" t="n">
        <x:f>C34-F26</x:f>
        <x:v>2.244312376543789</x:v>
      </x:c>
      <x:c r="D35" s="2"/>
      <x:c r="E35" s="2"/>
      <x:c r="F35" s="2"/>
      <x:c r="G35" s="2"/>
      <x:c r="H35" s="2"/>
      <x:c r="I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3" customHeight="1">
      <x:c r="A37" s="2"/>
      <x:c r="B37" s="16" t="str">
        <x:v>(b) Kupon under markedsrenten kræver discount. Kupon over markedsrenten giver præmie.</x:v>
      </x:c>
      <x:c r="C37" s="16"/>
      <x:c r="D37" s="16"/>
      <x:c r="E37" s="16"/>
      <x:c r="F37" s="16"/>
      <x:c r="G37" s="16"/>
      <x:c r="H37" s="16"/>
      <x:c r="I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32" customHeight="1">
      <x:c r="A39" s="2"/>
      <x:c r="B39" s="25" t="str">
        <x:v>År siden start</x:v>
      </x:c>
      <x:c r="C39" s="25" t="str">
        <x:v>År tilbage</x:v>
      </x:c>
      <x:c r="D39" s="25" t="str">
        <x:v>Rente 1: kurs</x:v>
      </x:c>
      <x:c r="E39" s="25" t="str">
        <x:v>Rente 2: kurs</x:v>
      </x:c>
      <x:c r="F39" s="25" t="str">
        <x:v>Rente 3: kurs</x:v>
      </x:c>
      <x:c r="G39" s="2"/>
      <x:c r="H39" s="2"/>
      <x:c r="I39" s="2"/>
    </x:row>
    <x:row r="40" ht="23" customHeight="1">
      <x:c r="A40" s="2"/>
      <x:c r="B40" s="2" t="n">
        <x:v>0</x:v>
      </x:c>
      <x:c r="C40" s="46" t="n">
        <x:f>$C$9-B40</x:f>
        <x:v>6</x:v>
      </x:c>
      <x:c r="D40" s="15" t="n">
        <x:f>IF($C$10=0,$C$15*C40+$C$7,$C$15*(1-(1+$C$10)^(-C40))/$C$10+$C$7/(1+$C$10)^C40)</x:f>
        <x:v>105.24213685674636</x:v>
      </x:c>
      <x:c r="E40" s="15" t="n">
        <x:f>IF($C$11=0,$C$15*C40+$C$7,$C$15*(1-(1+$C$11)^(-C40))/$C$11+$C$7/(1+$C$11)^C40)</x:f>
        <x:v>100</x:v>
      </x:c>
      <x:c r="F40" s="15" t="n">
        <x:f>IF($C$12=0,$C$15*C40+$C$7,$C$15*(1-(1+$C$12)^(-C40))/$C$12+$C$7/(1+$C$12)^C40)</x:f>
        <x:v>95.08267567399461</x:v>
      </x:c>
      <x:c r="G40" s="2"/>
      <x:c r="H40" s="2"/>
      <x:c r="I40" s="2"/>
    </x:row>
    <x:row r="41" ht="23" customHeight="1">
      <x:c r="A41" s="2"/>
      <x:c r="B41" s="2" t="n">
        <x:v>1</x:v>
      </x:c>
      <x:c r="C41" s="46" t="n">
        <x:f>$C$9-B41</x:f>
        <x:v>5</x:v>
      </x:c>
      <x:c r="D41" s="15" t="n">
        <x:f>IF($C$10=0,$C$15*C41+$C$7,$C$15*(1-(1+$C$10)^(-C41))/$C$10+$C$7/(1+$C$10)^C41)</x:f>
        <x:v>104.45182233101622</x:v>
      </x:c>
      <x:c r="E41" s="15" t="n">
        <x:f>IF($C$11=0,$C$15*C41+$C$7,$C$15*(1-(1+$C$11)^(-C41))/$C$11+$C$7/(1+$C$11)^C41)</x:f>
        <x:v>100</x:v>
      </x:c>
      <x:c r="F41" s="15" t="n">
        <x:f>IF($C$12=0,$C$15*C41+$C$7,$C$15*(1-(1+$C$12)^(-C41))/$C$12+$C$7/(1+$C$12)^C41)</x:f>
        <x:v>95.78763621443429</x:v>
      </x:c>
      <x:c r="G41" s="2"/>
      <x:c r="H41" s="2"/>
      <x:c r="I41" s="2"/>
    </x:row>
    <x:row r="42" ht="23" customHeight="1">
      <x:c r="A42" s="2"/>
      <x:c r="B42" s="2" t="n">
        <x:v>2</x:v>
      </x:c>
      <x:c r="C42" s="46" t="n">
        <x:f>$C$9-B42</x:f>
        <x:v>4</x:v>
      </x:c>
      <x:c r="D42" s="15" t="n">
        <x:f>IF($C$10=0,$C$15*C42+$C$7,$C$15*(1-(1+$C$10)^(-C42))/$C$10+$C$7/(1+$C$10)^C42)</x:f>
        <x:v>103.62989522425686</x:v>
      </x:c>
      <x:c r="E42" s="15" t="n">
        <x:f>IF($C$11=0,$C$15*C42+$C$7,$C$15*(1-(1+$C$11)^(-C42))/$C$11+$C$7/(1+$C$11)^C42)</x:f>
        <x:v>100</x:v>
      </x:c>
      <x:c r="F42" s="15" t="n">
        <x:f>IF($C$12=0,$C$15*C42+$C$7,$C$15*(1-(1+$C$12)^(-C42))/$C$12+$C$7/(1+$C$12)^C42)</x:f>
        <x:v>96.53489438730034</x:v>
      </x:c>
      <x:c r="G42" s="2"/>
      <x:c r="H42" s="2"/>
      <x:c r="I42" s="2"/>
    </x:row>
    <x:row r="43" ht="23" customHeight="1">
      <x:c r="A43" s="2"/>
      <x:c r="B43" s="2" t="n">
        <x:v>3</x:v>
      </x:c>
      <x:c r="C43" s="46" t="n">
        <x:f>$C$9-B43</x:f>
        <x:v>3</x:v>
      </x:c>
      <x:c r="D43" s="15" t="n">
        <x:f>IF($C$10=0,$C$15*C43+$C$7,$C$15*(1-(1+$C$10)^(-C43))/$C$10+$C$7/(1+$C$10)^C43)</x:f>
        <x:v>102.77509103322713</x:v>
      </x:c>
      <x:c r="E43" s="15" t="n">
        <x:f>IF($C$11=0,$C$15*C43+$C$7,$C$15*(1-(1+$C$11)^(-C43))/$C$11+$C$7/(1+$C$11)^C43)</x:f>
        <x:v>100</x:v>
      </x:c>
      <x:c r="F43" s="15" t="n">
        <x:f>IF($C$12=0,$C$15*C43+$C$7,$C$15*(1-(1+$C$12)^(-C43))/$C$12+$C$7/(1+$C$12)^C43)</x:f>
        <x:v>97.32698805053838</x:v>
      </x:c>
      <x:c r="G43" s="2"/>
      <x:c r="H43" s="2"/>
      <x:c r="I43" s="2"/>
    </x:row>
    <x:row r="44" ht="23" customHeight="1">
      <x:c r="A44" s="2"/>
      <x:c r="B44" s="2" t="n">
        <x:v>4</x:v>
      </x:c>
      <x:c r="C44" s="46" t="n">
        <x:f>$C$9-B44</x:f>
        <x:v>2</x:v>
      </x:c>
      <x:c r="D44" s="15" t="n">
        <x:f>IF($C$10=0,$C$15*C44+$C$7,$C$15*(1-(1+$C$10)^(-C44))/$C$10+$C$7/(1+$C$10)^C44)</x:f>
        <x:v>101.88609467455622</x:v>
      </x:c>
      <x:c r="E44" s="15" t="n">
        <x:f>IF($C$11=0,$C$15*C44+$C$7,$C$15*(1-(1+$C$11)^(-C44))/$C$11+$C$7/(1+$C$11)^C44)</x:f>
        <x:v>100</x:v>
      </x:c>
      <x:c r="F44" s="15" t="n">
        <x:f>IF($C$12=0,$C$15*C44+$C$7,$C$15*(1-(1+$C$12)^(-C44))/$C$12+$C$7/(1+$C$12)^C44)</x:f>
        <x:v>98.16660733357067</x:v>
      </x:c>
      <x:c r="G44" s="2"/>
      <x:c r="H44" s="2"/>
      <x:c r="I44" s="2"/>
    </x:row>
    <x:row r="45" ht="23" customHeight="1">
      <x:c r="A45" s="2"/>
      <x:c r="B45" s="2" t="n">
        <x:v>5</x:v>
      </x:c>
      <x:c r="C45" s="46" t="n">
        <x:f>$C$9-B45</x:f>
        <x:v>1</x:v>
      </x:c>
      <x:c r="D45" s="15" t="n">
        <x:f>IF($C$10=0,$C$15*C45+$C$7,$C$15*(1-(1+$C$10)^(-C45))/$C$10+$C$7/(1+$C$10)^C45)</x:f>
        <x:v>100.96153846153847</x:v>
      </x:c>
      <x:c r="E45" s="15" t="n">
        <x:f>IF($C$11=0,$C$15*C45+$C$7,$C$15*(1-(1+$C$11)^(-C45))/$C$11+$C$7/(1+$C$11)^C45)</x:f>
        <x:v>100.00000000000001</x:v>
      </x:c>
      <x:c r="F45" s="15" t="n">
        <x:f>IF($C$12=0,$C$15*C45+$C$7,$C$15*(1-(1+$C$12)^(-C45))/$C$12+$C$7/(1+$C$12)^C45)</x:f>
        <x:v>99.05660377358491</x:v>
      </x:c>
      <x:c r="G45" s="2"/>
      <x:c r="H45" s="2"/>
      <x:c r="I45" s="2"/>
    </x:row>
    <x:row r="46" ht="23" customHeight="1">
      <x:c r="A46" s="2"/>
      <x:c r="B46" s="2" t="n">
        <x:v>6</x:v>
      </x:c>
      <x:c r="C46" s="46" t="n">
        <x:f>$C$9-B46</x:f>
        <x:v>0</x:v>
      </x:c>
      <x:c r="D46" s="15" t="n">
        <x:f>IF($C$10=0,$C$15*C46+$C$7,$C$15*(1-(1+$C$10)^(-C46))/$C$10+$C$7/(1+$C$10)^C46)</x:f>
        <x:v>100</x:v>
      </x:c>
      <x:c r="E46" s="15" t="n">
        <x:f>IF($C$11=0,$C$15*C46+$C$7,$C$15*(1-(1+$C$11)^(-C46))/$C$11+$C$7/(1+$C$11)^C46)</x:f>
        <x:v>100</x:v>
      </x:c>
      <x:c r="F46" s="15" t="n">
        <x:f>IF($C$12=0,$C$15*C46+$C$7,$C$15*(1-(1+$C$12)^(-C46))/$C$12+$C$7/(1+$C$12)^C46)</x:f>
        <x:v>100</x:v>
      </x:c>
      <x:c r="G46" s="2"/>
      <x:c r="H46" s="2"/>
      <x:c r="I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3" customHeight="1">
      <x:c r="A66" s="2"/>
      <x:c r="B66" s="16" t="str">
        <x:v>(c) Slutpunktet viser indfrielsesværdien. Alle øvrige kurser er lige efter en kuponbetaling.</x:v>
      </x:c>
      <x:c r="C66" s="16"/>
      <x:c r="D66" s="16"/>
      <x:c r="E66" s="16"/>
      <x:c r="F66" s="16"/>
      <x:c r="G66" s="16"/>
      <x:c r="H66" s="16"/>
      <x:c r="I66" s="2"/>
    </x:row>
    <x:row r="67" ht="23" customHeight="1">
      <x:c r="A67" s="2"/>
      <x:c r="B67" s="16" t="str">
        <x:v>(d) Samme betalinger på samme dato er billigere til 95 end 105. På tværs af datoer skal markedsrenten med.</x:v>
      </x:c>
      <x:c r="C67" s="16"/>
      <x:c r="D67" s="16"/>
      <x:c r="E67" s="16"/>
      <x:c r="F67" s="16"/>
      <x:c r="G67" s="16"/>
      <x:c r="H67" s="16"/>
      <x:c r="I67" s="2"/>
    </x:row>
    <x:row r="68" ht="23" customHeight="1">
      <x:c r="A68" s="2"/>
      <x:c r="B68" s="16" t="str">
        <x:v>Sammenlign effektiv rente, risiko, løbetid og rettigheder. Kursen alene afgør ikke, om en obligation er attraktiv.</x:v>
      </x:c>
      <x:c r="C68" s="16"/>
      <x:c r="D68" s="16"/>
      <x:c r="E68" s="16"/>
      <x:c r="F68" s="16"/>
      <x:c r="G68" s="16"/>
      <x:c r="H68" s="16"/>
      <x:c r="I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</x:row>
  </x:sheetData>
  <x:pageMargins left="0.7" right="0.7" top="0.75" bottom="0.75" header="0.3" footer="0.3"/>
  <x:drawing xmlns:r="http://schemas.openxmlformats.org/officeDocument/2006/relationships" r:id="R0c1c40252b074080"/>
</x:worksheet>
</file>

<file path=xl/worksheets/sheet6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2.6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3" customHeight="1">
      <x:c r="A7" s="2"/>
      <x:c r="B7" s="2" t="str">
        <x:v>Nominel beholdning, kr.</x:v>
      </x:c>
      <x:c r="C7" s="9" t="n">
        <x:v>1000000</x:v>
      </x:c>
      <x:c r="D7" s="2"/>
      <x:c r="E7" s="2"/>
      <x:c r="F7" s="2"/>
      <x:c r="G7" s="2"/>
      <x:c r="H7" s="2"/>
      <x:c r="I7" s="2"/>
    </x:row>
    <x:row r="8" ht="23" customHeight="1">
      <x:c r="A8" s="2"/>
      <x:c r="B8" s="2" t="str">
        <x:v>Årlig kuponrente</x:v>
      </x:c>
      <x:c r="C8" s="12" t="n">
        <x:v>0.06</x:v>
      </x:c>
      <x:c r="D8" s="2"/>
      <x:c r="E8" s="2"/>
      <x:c r="F8" s="2"/>
      <x:c r="G8" s="2"/>
      <x:c r="H8" s="2"/>
      <x:c r="I8" s="2"/>
    </x:row>
    <x:row r="9" ht="23" customHeight="1">
      <x:c r="A9" s="2"/>
      <x:c r="B9" s="2" t="str">
        <x:v>År til udløb (fast)</x:v>
      </x:c>
      <x:c r="C9" s="14" t="n">
        <x:v>3</x:v>
      </x:c>
      <x:c r="D9" s="2"/>
      <x:c r="E9" s="2"/>
      <x:c r="F9" s="2"/>
      <x:c r="G9" s="2"/>
      <x:c r="H9" s="2"/>
      <x:c r="I9" s="2"/>
    </x:row>
    <x:row r="10" ht="23" customHeight="1">
      <x:c r="A10" s="2"/>
      <x:c r="B10" s="2" t="str">
        <x:v>Købskurs</x:v>
      </x:c>
      <x:c r="C10" s="9" t="n">
        <x:v>100</x:v>
      </x:c>
      <x:c r="D10" s="2"/>
      <x:c r="E10" s="2"/>
      <x:c r="F10" s="2"/>
      <x:c r="G10" s="2"/>
      <x:c r="H10" s="2"/>
      <x:c r="I10" s="2"/>
    </x:row>
    <x:row r="11" ht="23" customHeight="1">
      <x:c r="A11" s="2"/>
      <x:c r="B11" s="2" t="str">
        <x:v>Genplacering i (a)</x:v>
      </x:c>
      <x:c r="C11" s="12" t="n">
        <x:v>0.06</x:v>
      </x:c>
      <x:c r="D11" s="2"/>
      <x:c r="E11" s="2"/>
      <x:c r="F11" s="2"/>
      <x:c r="G11" s="2"/>
      <x:c r="H11" s="2"/>
      <x:c r="I11" s="2"/>
    </x:row>
    <x:row r="12" ht="23" customHeight="1">
      <x:c r="A12" s="2"/>
      <x:c r="B12" s="2" t="str">
        <x:v>Genplacering i (b)</x:v>
      </x:c>
      <x:c r="C12" s="12" t="n">
        <x:v>0.02</x:v>
      </x:c>
      <x:c r="D12" s="2"/>
      <x:c r="E12" s="2"/>
      <x:c r="F12" s="2"/>
      <x:c r="G12" s="2"/>
      <x:c r="H12" s="2"/>
      <x:c r="I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3" customHeight="1">
      <x:c r="A14" s="2"/>
      <x:c r="B14" s="2" t="str">
        <x:v>Investeret beløb, kr.</x:v>
      </x:c>
      <x:c r="C14" s="15" t="n">
        <x:f>C7*C10/100</x:f>
        <x:v>1000000</x:v>
      </x:c>
      <x:c r="D14" s="2"/>
      <x:c r="E14" s="2"/>
      <x:c r="F14" s="2"/>
      <x:c r="G14" s="2"/>
      <x:c r="H14" s="2"/>
      <x:c r="I14" s="2"/>
    </x:row>
    <x:row r="15" ht="23" customHeight="1">
      <x:c r="A15" s="2"/>
      <x:c r="B15" s="2" t="str">
        <x:v>Årlig kupon, kr.</x:v>
      </x:c>
      <x:c r="C15" s="15" t="n">
        <x:f>C7*C8</x:f>
        <x:v>60000</x:v>
      </x:c>
      <x:c r="D15" s="2"/>
      <x:c r="E15" s="2"/>
      <x:c r="F15" s="2"/>
      <x:c r="G15" s="2"/>
      <x:c r="H15" s="2"/>
      <x:c r="I15" s="2"/>
    </x:row>
    <x:row r="16" ht="23" customHeight="1">
      <x:c r="A16" s="2"/>
      <x:c r="B16" s="2" t="str">
        <x:v>Effektiv rente ved køb</x:v>
      </x:c>
      <x:c r="C16" s="33" t="n">
        <x:f>RATE(C9,C15,-C14,C7)</x:f>
        <x:v>0.06000000000000002</x:v>
      </x:c>
      <x:c r="D16" s="2"/>
      <x:c r="E16" s="2"/>
      <x:c r="F16" s="2"/>
      <x:c r="G16" s="2"/>
      <x:c r="H16" s="2"/>
      <x:c r="I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32" customHeight="1">
      <x:c r="A20" s="2"/>
      <x:c r="B20" s="25" t="str">
        <x:v>Modtaget i år</x:v>
      </x:c>
      <x:c r="C20" s="25" t="str">
        <x:v>Betaling, kr.</x:v>
      </x:c>
      <x:c r="D20" s="25" t="str">
        <x:v>År til genplacering</x:v>
      </x:c>
      <x:c r="E20" s="25" t="str">
        <x:v>Faktor ved (a)</x:v>
      </x:c>
      <x:c r="F20" s="25" t="str">
        <x:v>Slutværdi (a), kr.</x:v>
      </x:c>
      <x:c r="G20" s="25" t="str">
        <x:v>Faktor ved (b)</x:v>
      </x:c>
      <x:c r="H20" s="25" t="str">
        <x:v>Slutværdi (b), kr.</x:v>
      </x:c>
      <x:c r="I20" s="2"/>
    </x:row>
    <x:row r="21" ht="23" customHeight="1">
      <x:c r="A21" s="2"/>
      <x:c r="B21" s="2" t="n">
        <x:v>1</x:v>
      </x:c>
      <x:c r="C21" s="15" t="n">
        <x:f>$C$15</x:f>
        <x:v>60000</x:v>
      </x:c>
      <x:c r="D21" s="46" t="n">
        <x:f>$C$9-B21</x:f>
        <x:v>2</x:v>
      </x:c>
      <x:c r="E21" s="27" t="n">
        <x:f>(1+$C$11)^D21</x:f>
        <x:v>1.1236000000000002</x:v>
      </x:c>
      <x:c r="F21" s="15" t="n">
        <x:f>C21*E21</x:f>
        <x:v>67416.00000000001</x:v>
      </x:c>
      <x:c r="G21" s="27" t="n">
        <x:f>(1+$C$12)^D21</x:f>
        <x:v>1.0404</x:v>
      </x:c>
      <x:c r="H21" s="15" t="n">
        <x:f>C21*G21</x:f>
        <x:v>62424</x:v>
      </x:c>
      <x:c r="I21" s="2"/>
    </x:row>
    <x:row r="22" ht="23" customHeight="1">
      <x:c r="A22" s="2"/>
      <x:c r="B22" s="2" t="n">
        <x:v>2</x:v>
      </x:c>
      <x:c r="C22" s="15" t="n">
        <x:f>$C$15</x:f>
        <x:v>60000</x:v>
      </x:c>
      <x:c r="D22" s="46" t="n">
        <x:f>$C$9-B22</x:f>
        <x:v>1</x:v>
      </x:c>
      <x:c r="E22" s="27" t="n">
        <x:f>(1+$C$11)^D22</x:f>
        <x:v>1.06</x:v>
      </x:c>
      <x:c r="F22" s="15" t="n">
        <x:f>C22*E22</x:f>
        <x:v>63600</x:v>
      </x:c>
      <x:c r="G22" s="27" t="n">
        <x:f>(1+$C$12)^D22</x:f>
        <x:v>1.02</x:v>
      </x:c>
      <x:c r="H22" s="15" t="n">
        <x:f>C22*G22</x:f>
        <x:v>61200</x:v>
      </x:c>
      <x:c r="I22" s="2"/>
    </x:row>
    <x:row r="23" ht="23" customHeight="1">
      <x:c r="A23" s="2"/>
      <x:c r="B23" s="2" t="n">
        <x:v>3</x:v>
      </x:c>
      <x:c r="C23" s="15" t="n">
        <x:f>$C$15</x:f>
        <x:v>60000</x:v>
      </x:c>
      <x:c r="D23" s="46" t="n">
        <x:f>$C$9-B23</x:f>
        <x:v>0</x:v>
      </x:c>
      <x:c r="E23" s="27" t="n">
        <x:f>(1+$C$11)^D23</x:f>
        <x:v>1</x:v>
      </x:c>
      <x:c r="F23" s="15" t="n">
        <x:f>C23*E23</x:f>
        <x:v>60000</x:v>
      </x:c>
      <x:c r="G23" s="27" t="n">
        <x:f>(1+$C$12)^D23</x:f>
        <x:v>1</x:v>
      </x:c>
      <x:c r="H23" s="15" t="n">
        <x:f>C23*G23</x:f>
        <x:v>60000</x:v>
      </x:c>
      <x:c r="I23" s="2"/>
    </x:row>
    <x:row r="24" ht="23" customHeight="1">
      <x:c r="A24" s="2"/>
      <x:c r="B24" s="2" t="str">
        <x:v>Hovedstol ved udløb</x:v>
      </x:c>
      <x:c r="C24" s="15" t="n">
        <x:f>C7</x:f>
        <x:v>1000000</x:v>
      </x:c>
      <x:c r="D24" s="46" t="n">
        <x:f>0</x:f>
        <x:v>0</x:v>
      </x:c>
      <x:c r="E24" s="27" t="n">
        <x:f>1</x:f>
        <x:v>1</x:v>
      </x:c>
      <x:c r="F24" s="15" t="n">
        <x:f>C24*E24</x:f>
        <x:v>1000000</x:v>
      </x:c>
      <x:c r="G24" s="27" t="n">
        <x:f>1</x:f>
        <x:v>1</x:v>
      </x:c>
      <x:c r="H24" s="15" t="n">
        <x:f>C24*G24</x:f>
        <x:v>1000000</x:v>
      </x:c>
      <x:c r="I24" s="2"/>
    </x:row>
    <x:row r="25" ht="23" customHeight="1">
      <x:c r="A25" s="2"/>
      <x:c r="B25" s="19" t="str">
        <x:v>Samlet slutformue</x:v>
      </x:c>
      <x:c r="C25" s="19"/>
      <x:c r="D25" s="19"/>
      <x:c r="E25" s="19"/>
      <x:c r="F25" s="20" t="n">
        <x:f>SUM(F21:F24)</x:f>
        <x:v>1191016</x:v>
      </x:c>
      <x:c r="G25" s="19"/>
      <x:c r="H25" s="20" t="n">
        <x:f>SUM(H21:H24)</x:f>
        <x:v>1183624</x:v>
      </x:c>
      <x:c r="I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3" customHeight="1">
      <x:c r="A27" s="2"/>
      <x:c r="B27" s="2" t="str">
        <x:v>(a) Årligt afkast</x:v>
      </x:c>
      <x:c r="C27" s="48" t="n">
        <x:f>(F25/C14)^(1/C9)-1</x:f>
        <x:v>0.06000000000000005</x:v>
      </x:c>
      <x:c r="D27" s="2"/>
      <x:c r="E27" s="2"/>
      <x:c r="F27" s="2"/>
      <x:c r="G27" s="2"/>
      <x:c r="H27" s="2"/>
      <x:c r="I27" s="2"/>
    </x:row>
    <x:row r="28" ht="23" customHeight="1">
      <x:c r="A28" s="2"/>
      <x:c r="B28" s="2" t="str">
        <x:v>(c) Årligt afkast i (b)</x:v>
      </x:c>
      <x:c r="C28" s="48" t="n">
        <x:f>(H25/C14)^(1/C9)-1</x:f>
        <x:v>0.057802496238086976</x:v>
      </x:c>
      <x:c r="D28" s="2"/>
      <x:c r="E28" s="2"/>
      <x:c r="F28" s="2"/>
      <x:c r="G28" s="2"/>
      <x:c r="H28" s="2"/>
      <x:c r="I28" s="2"/>
    </x:row>
    <x:row r="29" ht="23" customHeight="1">
      <x:c r="A29" s="2"/>
      <x:c r="B29" s="2" t="str">
        <x:v>Under YTM, procentpoint</x:v>
      </x:c>
      <x:c r="C29" s="50" t="n">
        <x:f>(C16-C28)*100</x:f>
        <x:v>0.2197503761913043</x:v>
      </x:c>
      <x:c r="D29" s="2"/>
      <x:c r="E29" s="2"/>
      <x:c r="F29" s="2"/>
      <x:c r="G29" s="2"/>
      <x:c r="H29" s="2"/>
      <x:c r="I29" s="2"/>
    </x:row>
    <x:row r="30" ht="23" customHeight="1">
      <x:c r="A30" s="2"/>
      <x:c r="B30" s="2" t="str">
        <x:v>Formue ved forrentning til y</x:v>
      </x:c>
      <x:c r="C30" s="15" t="n">
        <x:f>C14*(1+C16)^C9</x:f>
        <x:v>1191016</x:v>
      </x:c>
      <x:c r="D30" s="2"/>
      <x:c r="E30" s="2"/>
      <x:c r="F30" s="2"/>
      <x:c r="G30" s="2"/>
      <x:c r="H30" s="2"/>
      <x:c r="I30" s="2"/>
    </x:row>
    <x:row r="31" ht="23" customHeight="1">
      <x:c r="A31" s="2"/>
      <x:c r="B31" s="2" t="str">
        <x:v>Slutformue (a) minus dette</x:v>
      </x:c>
      <x:c r="C31" s="15" t="n">
        <x:f>F25-C30</x:f>
        <x:v>0</x:v>
      </x:c>
      <x:c r="D31" s="2"/>
      <x:c r="E31" s="16" t="str">
        <x:v>Nul, når genplaceringsrenten i (a) er lig YTM.</x:v>
      </x:c>
      <x:c r="F31" s="16"/>
      <x:c r="G31" s="16"/>
      <x:c r="H31" s="16"/>
      <x:c r="I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3" customHeight="1">
      <x:c r="A33" s="2"/>
      <x:c r="B33" s="16" t="str">
        <x:v>(d) Hold til udløb og genplacér alle mellemliggende betalinger til YTM fra købet.</x:v>
      </x:c>
      <x:c r="C33" s="16"/>
      <x:c r="D33" s="16"/>
      <x:c r="E33" s="16"/>
      <x:c r="F33" s="16"/>
      <x:c r="G33" s="16"/>
      <x:c r="H33" s="16"/>
      <x:c r="I33" s="2"/>
    </x:row>
    <x:row r="34" ht="23" customHeight="1">
      <x:c r="A34" s="2"/>
      <x:c r="B34" s="16" t="str">
        <x:v>Forudsætter også aftalte betalinger, ingen skat og ingen handelsomkostninger.</x:v>
      </x:c>
      <x:c r="C34" s="16"/>
      <x:c r="D34" s="16"/>
      <x:c r="E34" s="16"/>
      <x:c r="F34" s="16"/>
      <x:c r="G34" s="16"/>
      <x:c r="H34" s="16"/>
      <x:c r="I34" s="2"/>
    </x:row>
    <x:row r="35" ht="23" customHeight="1">
      <x:c r="A35" s="2"/>
      <x:c r="B35" s="16" t="str">
        <x:v>Ved samme hovedstol, kupon, løbetid og horisont ved udløb skal serie/annuitet også genplacere afdrag.</x:v>
      </x:c>
      <x:c r="C35" s="16"/>
      <x:c r="D35" s="16"/>
      <x:c r="E35" s="16"/>
      <x:c r="F35" s="16"/>
      <x:c r="G35" s="16"/>
      <x:c r="H35" s="16"/>
      <x:c r="I35" s="2"/>
    </x:row>
    <x:row r="36" ht="23" customHeight="1">
      <x:c r="A36" s="2"/>
      <x:c r="B36" s="16" t="str">
        <x:v>Flere tidlige betalinger giver større eksponering mod genplaceringsrenten. Højere kupon øger den, alt andet lige.</x:v>
      </x:c>
      <x:c r="C36" s="16"/>
      <x:c r="D36" s="16"/>
      <x:c r="E36" s="16"/>
      <x:c r="F36" s="16"/>
      <x:c r="G36" s="16"/>
      <x:c r="H36" s="16"/>
      <x:c r="I36" s="2"/>
    </x:row>
    <x:row r="37" ht="23" customHeight="1">
      <x:c r="A37" s="2"/>
      <x:c r="B37" s="16" t="str">
        <x:v>Stående lån genplacerer kun kuponer. Nulkupon har ingen genplaceringsrisiko frem til eget udløb.</x:v>
      </x:c>
      <x:c r="C37" s="16"/>
      <x:c r="D37" s="16"/>
      <x:c r="E37" s="16"/>
      <x:c r="F37" s="16"/>
      <x:c r="G37" s="16"/>
      <x:c r="H37" s="16"/>
      <x:c r="I37" s="2"/>
    </x:row>
    <x:row r="38" ht="40" customHeight="1">
      <x:c r="A38" s="2"/>
      <x:c r="B38" s="25" t="str">
        <x:v>Genplacering</x:v>
      </x:c>
      <x:c r="C38" s="25" t="str">
        <x:v>Samlet rente på kuponer, kr.</x:v>
      </x:c>
      <x:c r="D38" s="2"/>
      <x:c r="E38" s="2"/>
      <x:c r="F38" s="2"/>
      <x:c r="G38" s="2"/>
      <x:c r="H38" s="2"/>
      <x:c r="I38" s="2"/>
    </x:row>
    <x:row r="39" ht="23" customHeight="1">
      <x:c r="A39" s="2"/>
      <x:c r="B39" s="2" t="str">
        <x:v>Til renten i (a)</x:v>
      </x:c>
      <x:c r="C39" s="15" t="n">
        <x:f>F25-C7-SUM(C21:C23)</x:f>
        <x:v>11016</x:v>
      </x:c>
      <x:c r="D39" s="2"/>
      <x:c r="E39" s="2"/>
      <x:c r="F39" s="2"/>
      <x:c r="G39" s="2"/>
      <x:c r="H39" s="2"/>
      <x:c r="I39" s="2"/>
    </x:row>
    <x:row r="40" ht="23" customHeight="1">
      <x:c r="A40" s="2"/>
      <x:c r="B40" s="2" t="str">
        <x:v>Til renten i (b)</x:v>
      </x:c>
      <x:c r="C40" s="15" t="n">
        <x:f>H25-C7-SUM(C21:C23)</x:f>
        <x:v>3624</x:v>
      </x:c>
      <x:c r="D40" s="2"/>
      <x:c r="E40" s="2"/>
      <x:c r="F40" s="2"/>
      <x:c r="G40" s="2"/>
      <x:c r="H40" s="2"/>
      <x:c r="I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</x:row>
  </x:sheetData>
  <x:pageMargins left="0.7" right="0.7" top="0.75" bottom="0.75" header="0.3" footer="0.3"/>
  <x:drawing xmlns:r="http://schemas.openxmlformats.org/officeDocument/2006/relationships" r:id="R35994467ce674954"/>
</x:worksheet>
</file>

<file path=xl/worksheets/sheet7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2.7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3" customHeight="1">
      <x:c r="A7" s="2"/>
      <x:c r="B7" s="2" t="str">
        <x:v>Indfrielse pr. 100 nominel</x:v>
      </x:c>
      <x:c r="C7" s="9" t="n">
        <x:v>100</x:v>
      </x:c>
      <x:c r="D7" s="2"/>
      <x:c r="E7" s="2"/>
      <x:c r="F7" s="2"/>
      <x:c r="G7" s="2"/>
      <x:c r="H7" s="2"/>
      <x:c r="I7" s="2"/>
    </x:row>
    <x:row r="8" ht="23" customHeight="1">
      <x:c r="A8" s="2"/>
      <x:c r="B8" s="2" t="str">
        <x:v>K: år til udløb (fast)</x:v>
      </x:c>
      <x:c r="C8" s="14" t="n">
        <x:v>2</x:v>
      </x:c>
      <x:c r="D8" s="2"/>
      <x:c r="E8" s="2"/>
      <x:c r="F8" s="2"/>
      <x:c r="G8" s="2"/>
      <x:c r="H8" s="2"/>
      <x:c r="I8" s="2"/>
    </x:row>
    <x:row r="9" ht="23" customHeight="1">
      <x:c r="A9" s="2"/>
      <x:c r="B9" s="2" t="str">
        <x:v>L: år til udløb (fast)</x:v>
      </x:c>
      <x:c r="C9" s="14" t="n">
        <x:v>20</x:v>
      </x:c>
      <x:c r="D9" s="2"/>
      <x:c r="E9" s="2"/>
      <x:c r="F9" s="2"/>
      <x:c r="G9" s="2"/>
      <x:c r="H9" s="2"/>
      <x:c r="I9" s="2"/>
    </x:row>
    <x:row r="10" ht="23" customHeight="1">
      <x:c r="A10" s="2"/>
      <x:c r="B10" s="2" t="str">
        <x:v>Rente ved start</x:v>
      </x:c>
      <x:c r="C10" s="12" t="n">
        <x:v>0.04</x:v>
      </x:c>
      <x:c r="D10" s="2"/>
      <x:c r="E10" s="2"/>
      <x:c r="F10" s="2"/>
      <x:c r="G10" s="2"/>
      <x:c r="H10" s="2"/>
      <x:c r="I10" s="2"/>
    </x:row>
    <x:row r="11" ht="23" customHeight="1">
      <x:c r="A11" s="2"/>
      <x:c r="B11" s="2" t="str">
        <x:v>Rente efter stigning</x:v>
      </x:c>
      <x:c r="C11" s="12" t="n">
        <x:v>0.06</x:v>
      </x:c>
      <x:c r="D11" s="2"/>
      <x:c r="E11" s="2"/>
      <x:c r="F11" s="2"/>
      <x:c r="G11" s="2"/>
      <x:c r="H11" s="2"/>
      <x:c r="I11" s="2"/>
    </x:row>
    <x:row r="12" ht="23" customHeight="1">
      <x:c r="A12" s="2"/>
      <x:c r="B12" s="2" t="str">
        <x:v>Rente efter fald</x:v>
      </x:c>
      <x:c r="C12" s="12" t="n">
        <x:v>0.02</x:v>
      </x:c>
      <x:c r="D12" s="2"/>
      <x:c r="E12" s="2"/>
      <x:c r="F12" s="2"/>
      <x:c r="G12" s="2"/>
      <x:c r="H12" s="2"/>
      <x:c r="I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32" customHeight="1">
      <x:c r="A15" s="2"/>
      <x:c r="B15" s="25" t="str">
        <x:v>(a) Scenario</x:v>
      </x:c>
      <x:c r="C15" s="25" t="str">
        <x:v>Rente</x:v>
      </x:c>
      <x:c r="D15" s="25" t="str">
        <x:v>K: kurs</x:v>
      </x:c>
      <x:c r="E15" s="25" t="str">
        <x:v>L: kurs</x:v>
      </x:c>
      <x:c r="F15" s="25" t="str">
        <x:v>K: ændring i %</x:v>
      </x:c>
      <x:c r="G15" s="25" t="str">
        <x:v>L: ændring i %</x:v>
      </x:c>
      <x:c r="H15" s="2"/>
      <x:c r="I15" s="2"/>
    </x:row>
    <x:row r="16" ht="23" customHeight="1">
      <x:c r="A16" s="2"/>
      <x:c r="B16" s="2" t="str">
        <x:v>Udgangspunkt</x:v>
      </x:c>
      <x:c r="C16" s="33" t="n">
        <x:f>C10</x:f>
        <x:v>0.04</x:v>
      </x:c>
      <x:c r="D16" s="15" t="n">
        <x:f>$C$7/(1+C16)^$C$8</x:f>
        <x:v>92.45562130177514</x:v>
      </x:c>
      <x:c r="E16" s="15" t="n">
        <x:f>$C$7/(1+C16)^$C$9</x:f>
        <x:v>45.638694620129215</x:v>
      </x:c>
      <x:c r="F16" s="33" t="n">
        <x:f>D16/$D$16-1</x:f>
        <x:v>0</x:v>
      </x:c>
      <x:c r="G16" s="33" t="n">
        <x:f>E16/$E$16-1</x:f>
        <x:v>0</x:v>
      </x:c>
      <x:c r="H16" s="2"/>
      <x:c r="I16" s="2"/>
    </x:row>
    <x:row r="17" ht="23" customHeight="1">
      <x:c r="A17" s="2"/>
      <x:c r="B17" s="2" t="str">
        <x:v>Rentestigning</x:v>
      </x:c>
      <x:c r="C17" s="33" t="n">
        <x:f>C11</x:f>
        <x:v>0.06</x:v>
      </x:c>
      <x:c r="D17" s="15" t="n">
        <x:f>$C$7/(1+C17)^$C$8</x:f>
        <x:v>88.99964400142399</x:v>
      </x:c>
      <x:c r="E17" s="15" t="n">
        <x:f>$C$7/(1+C17)^$C$9</x:f>
        <x:v>31.18047268860843</x:v>
      </x:c>
      <x:c r="F17" s="33" t="n">
        <x:f>D17/$D$16-1</x:f>
        <x:v>-0.037379850480598</x:v>
      </x:c>
      <x:c r="G17" s="33" t="n">
        <x:f>E17/$E$16-1</x:f>
        <x:v>-0.3167974468126856</x:v>
      </x:c>
      <x:c r="H17" s="2"/>
      <x:c r="I17" s="2"/>
    </x:row>
    <x:row r="18" ht="23" customHeight="1">
      <x:c r="A18" s="2"/>
      <x:c r="B18" s="2" t="str">
        <x:v>Rentefald</x:v>
      </x:c>
      <x:c r="C18" s="33" t="n">
        <x:f>C12</x:f>
        <x:v>0.02</x:v>
      </x:c>
      <x:c r="D18" s="15" t="n">
        <x:f>$C$7/(1+C18)^$C$8</x:f>
        <x:v>96.11687812379854</x:v>
      </x:c>
      <x:c r="E18" s="15" t="n">
        <x:f>$C$7/(1+C18)^$C$9</x:f>
        <x:v>67.29713331080575</x:v>
      </x:c>
      <x:c r="F18" s="33" t="n">
        <x:f>D18/$D$16-1</x:f>
        <x:v>0.03960015378700521</x:v>
      </x:c>
      <x:c r="G18" s="33" t="n">
        <x:f>E18/$E$16-1</x:f>
        <x:v>0.47456306257111813</x:v>
      </x:c>
      <x:c r="H18" s="2"/>
      <x:c r="I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3" customHeight="1">
      <x:c r="A21" s="2"/>
      <x:c r="B21" s="2" t="str">
        <x:v>(c) L: gevinst, kurspoint</x:v>
      </x:c>
      <x:c r="C21" s="15" t="n">
        <x:f>E18-E16</x:f>
        <x:v>21.658438690676533</x:v>
      </x:c>
      <x:c r="D21" s="2"/>
      <x:c r="E21" s="2"/>
      <x:c r="F21" s="2"/>
      <x:c r="G21" s="2"/>
      <x:c r="H21" s="2"/>
      <x:c r="I21" s="2"/>
    </x:row>
    <x:row r="22" ht="23" customHeight="1">
      <x:c r="A22" s="2"/>
      <x:c r="B22" s="2" t="str">
        <x:v>L: tab, kurspoint</x:v>
      </x:c>
      <x:c r="C22" s="15" t="n">
        <x:f>E16-E17</x:f>
        <x:v>14.458221931520786</x:v>
      </x:c>
      <x:c r="D22" s="2"/>
      <x:c r="E22" s="2"/>
      <x:c r="F22" s="2"/>
      <x:c r="G22" s="2"/>
      <x:c r="H22" s="2"/>
      <x:c r="I22" s="2"/>
    </x:row>
    <x:row r="23" ht="23" customHeight="1">
      <x:c r="A23" s="2"/>
      <x:c r="B23" s="2" t="str">
        <x:v>Gevinst minus tab, point</x:v>
      </x:c>
      <x:c r="C23" s="15" t="n">
        <x:f>C21-C22</x:f>
        <x:v>7.200216759155747</x:v>
      </x:c>
      <x:c r="D23" s="2"/>
      <x:c r="E23" s="2"/>
      <x:c r="F23" s="2"/>
      <x:c r="G23" s="2"/>
      <x:c r="H23" s="2"/>
      <x:c r="I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3" customHeight="1">
      <x:c r="A25" s="2"/>
      <x:c r="B25" s="16" t="str">
        <x:v>(b) L diskonteres i 20 år, K i to. Renten virker gennem langt flere perioder for L.</x:v>
      </x:c>
      <x:c r="C25" s="16"/>
      <x:c r="D25" s="16"/>
      <x:c r="E25" s="16"/>
      <x:c r="F25" s="16"/>
      <x:c r="G25" s="16"/>
      <x:c r="H25" s="16"/>
      <x:c r="I25" s="2"/>
    </x:row>
    <x:row r="26" ht="23" customHeight="1">
      <x:c r="A26" s="2"/>
      <x:c r="B26" s="16" t="str">
        <x:v>(c) Ved lavere rente bliver kurven stejlere; ved højere rente fladere. Det er konveksitet.</x:v>
      </x:c>
      <x:c r="C26" s="16"/>
      <x:c r="D26" s="16"/>
      <x:c r="E26" s="16"/>
      <x:c r="F26" s="16"/>
      <x:c r="G26" s="16"/>
      <x:c r="H26" s="16"/>
      <x:c r="I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3" customHeight="1">
      <x:c r="A28" s="2"/>
      <x:c r="B28" s="2" t="str">
        <x:v>(d) Modificeret varighed, L</x:v>
      </x:c>
      <x:c r="C28" s="50" t="n">
        <x:f>C9/(1+C10)</x:f>
        <x:v>19.23076923076923</x:v>
      </x:c>
      <x:c r="D28" s="2"/>
      <x:c r="E28" s="2"/>
      <x:c r="F28" s="2"/>
      <x:c r="G28" s="2"/>
      <x:c r="H28" s="2"/>
      <x:c r="I28" s="2"/>
    </x:row>
    <x:row r="29" ht="23" customHeight="1">
      <x:c r="A29" s="2"/>
      <x:c r="B29" s="2" t="str">
        <x:v>Lille renteændring</x:v>
      </x:c>
      <x:c r="C29" s="53" t="n">
        <x:v>0.0001</x:v>
      </x:c>
      <x:c r="D29" s="2"/>
      <x:c r="E29" s="2"/>
      <x:c r="F29" s="2"/>
      <x:c r="G29" s="2"/>
      <x:c r="H29" s="2"/>
      <x:c r="I29" s="2"/>
    </x:row>
    <x:row r="30" ht="23" customHeight="1">
      <x:c r="A30" s="2"/>
      <x:c r="B30" s="2" t="str">
        <x:v>Anslået kursændring, L</x:v>
      </x:c>
      <x:c r="C30" s="48" t="n">
        <x:f>-C28*C29</x:f>
        <x:v>-0.0019230769230769232</x:v>
      </x:c>
      <x:c r="D30" s="2"/>
      <x:c r="E30" s="2"/>
      <x:c r="F30" s="2"/>
      <x:c r="G30" s="2"/>
      <x:c r="H30" s="2"/>
      <x:c r="I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3" customHeight="1">
      <x:c r="A32" s="2"/>
      <x:c r="B32" s="16" t="str">
        <x:v>(d) Modificeret varighed måler lokal prisfølsomhed. Konveksitet beskriver kurvens krumning.</x:v>
      </x:c>
      <x:c r="C32" s="16"/>
      <x:c r="D32" s="16"/>
      <x:c r="E32" s="16"/>
      <x:c r="F32" s="16"/>
      <x:c r="G32" s="16"/>
      <x:c r="H32" s="16"/>
      <x:c r="I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32" customHeight="1">
      <x:c r="A35" s="2"/>
      <x:c r="B35" s="25" t="str">
        <x:v>Årlig effektiv rente</x:v>
      </x:c>
      <x:c r="C35" s="25" t="str">
        <x:v>K: kurs</x:v>
      </x:c>
      <x:c r="D35" s="25" t="str">
        <x:v>L: kurs</x:v>
      </x:c>
      <x:c r="E35" s="2"/>
      <x:c r="F35" s="2"/>
      <x:c r="G35" s="2"/>
      <x:c r="H35" s="2" t="str">
        <x:v>Rente på grafens akse</x:v>
      </x:c>
      <x:c r="I35" s="2"/>
    </x:row>
    <x:row r="36" ht="23" customHeight="1">
      <x:c r="A36" s="2"/>
      <x:c r="B36" s="10" t="n">
        <x:v>0.01</x:v>
      </x:c>
      <x:c r="C36" s="15" t="n">
        <x:f>$C$7/(1+B36)^$C$8</x:f>
        <x:v>98.02960494069208</x:v>
      </x:c>
      <x:c r="D36" s="15" t="n">
        <x:f>$C$7/(1+B36)^$C$9</x:f>
        <x:v>81.95444703372954</x:v>
      </x:c>
      <x:c r="E36" s="2"/>
      <x:c r="F36" s="2"/>
      <x:c r="G36" s="2"/>
      <x:c r="H36" s="44" t="str">
        <x:f>TEXT(B36,"0%")</x:f>
        <x:v>1%</x:v>
      </x:c>
      <x:c r="I36" s="2"/>
    </x:row>
    <x:row r="37" ht="23" customHeight="1">
      <x:c r="A37" s="2"/>
      <x:c r="B37" s="10" t="n">
        <x:v>0.02</x:v>
      </x:c>
      <x:c r="C37" s="15" t="n">
        <x:f>$C$7/(1+B37)^$C$8</x:f>
        <x:v>96.11687812379854</x:v>
      </x:c>
      <x:c r="D37" s="15" t="n">
        <x:f>$C$7/(1+B37)^$C$9</x:f>
        <x:v>67.29713331080575</x:v>
      </x:c>
      <x:c r="E37" s="2"/>
      <x:c r="F37" s="2"/>
      <x:c r="G37" s="2"/>
      <x:c r="H37" s="44" t="str">
        <x:f>TEXT(B37,"0%")</x:f>
        <x:v>2%</x:v>
      </x:c>
      <x:c r="I37" s="2"/>
    </x:row>
    <x:row r="38" ht="23" customHeight="1">
      <x:c r="A38" s="2"/>
      <x:c r="B38" s="10" t="n">
        <x:v>0.03</x:v>
      </x:c>
      <x:c r="C38" s="15" t="n">
        <x:f>$C$7/(1+B38)^$C$8</x:f>
        <x:v>94.25959091337543</x:v>
      </x:c>
      <x:c r="D38" s="15" t="n">
        <x:f>$C$7/(1+B38)^$C$9</x:f>
        <x:v>55.36757541863345</x:v>
      </x:c>
      <x:c r="E38" s="2"/>
      <x:c r="F38" s="2"/>
      <x:c r="G38" s="2"/>
      <x:c r="H38" s="44" t="str">
        <x:f>TEXT(B38,"0%")</x:f>
        <x:v>3%</x:v>
      </x:c>
      <x:c r="I38" s="2"/>
    </x:row>
    <x:row r="39" ht="23" customHeight="1">
      <x:c r="A39" s="2"/>
      <x:c r="B39" s="10" t="n">
        <x:v>0.04</x:v>
      </x:c>
      <x:c r="C39" s="15" t="n">
        <x:f>$C$7/(1+B39)^$C$8</x:f>
        <x:v>92.45562130177514</x:v>
      </x:c>
      <x:c r="D39" s="15" t="n">
        <x:f>$C$7/(1+B39)^$C$9</x:f>
        <x:v>45.638694620129215</x:v>
      </x:c>
      <x:c r="E39" s="2"/>
      <x:c r="F39" s="2"/>
      <x:c r="G39" s="2"/>
      <x:c r="H39" s="44" t="str">
        <x:f>TEXT(B39,"0%")</x:f>
        <x:v>4%</x:v>
      </x:c>
      <x:c r="I39" s="2"/>
    </x:row>
    <x:row r="40" ht="23" customHeight="1">
      <x:c r="A40" s="2"/>
      <x:c r="B40" s="10" t="n">
        <x:v>0.05</x:v>
      </x:c>
      <x:c r="C40" s="15" t="n">
        <x:f>$C$7/(1+B40)^$C$8</x:f>
        <x:v>90.70294784580499</x:v>
      </x:c>
      <x:c r="D40" s="15" t="n">
        <x:f>$C$7/(1+B40)^$C$9</x:f>
        <x:v>37.68894828730004</x:v>
      </x:c>
      <x:c r="E40" s="2"/>
      <x:c r="F40" s="2"/>
      <x:c r="G40" s="2"/>
      <x:c r="H40" s="44" t="str">
        <x:f>TEXT(B40,"0%")</x:f>
        <x:v>5%</x:v>
      </x:c>
      <x:c r="I40" s="2"/>
    </x:row>
    <x:row r="41" ht="23" customHeight="1">
      <x:c r="A41" s="2"/>
      <x:c r="B41" s="10" t="n">
        <x:v>0.06</x:v>
      </x:c>
      <x:c r="C41" s="15" t="n">
        <x:f>$C$7/(1+B41)^$C$8</x:f>
        <x:v>88.99964400142399</x:v>
      </x:c>
      <x:c r="D41" s="15" t="n">
        <x:f>$C$7/(1+B41)^$C$9</x:f>
        <x:v>31.18047268860843</x:v>
      </x:c>
      <x:c r="E41" s="2"/>
      <x:c r="F41" s="2"/>
      <x:c r="G41" s="2"/>
      <x:c r="H41" s="44" t="str">
        <x:f>TEXT(B41,"0%")</x:f>
        <x:v>6%</x:v>
      </x:c>
      <x:c r="I41" s="2"/>
    </x:row>
    <x:row r="42" ht="23" customHeight="1">
      <x:c r="A42" s="2"/>
      <x:c r="B42" s="10" t="n">
        <x:v>0.07</x:v>
      </x:c>
      <x:c r="C42" s="15" t="n">
        <x:f>$C$7/(1+B42)^$C$8</x:f>
        <x:v>87.34387282732116</x:v>
      </x:c>
      <x:c r="D42" s="15" t="n">
        <x:f>$C$7/(1+B42)^$C$9</x:f>
        <x:v>25.84190028138684</x:v>
      </x:c>
      <x:c r="E42" s="2"/>
      <x:c r="F42" s="2"/>
      <x:c r="G42" s="2"/>
      <x:c r="H42" s="44" t="str">
        <x:f>TEXT(B42,"0%")</x:f>
        <x:v>7%</x:v>
      </x:c>
      <x:c r="I42" s="2"/>
    </x:row>
    <x:row r="43" ht="23" customHeight="1">
      <x:c r="A43" s="2"/>
      <x:c r="B43" s="10" t="n">
        <x:v>0.08</x:v>
      </x:c>
      <x:c r="C43" s="15" t="n">
        <x:f>$C$7/(1+B43)^$C$8</x:f>
        <x:v>85.73388203017832</x:v>
      </x:c>
      <x:c r="D43" s="15" t="n">
        <x:f>$C$7/(1+B43)^$C$9</x:f>
        <x:v>21.454820740405644</x:v>
      </x:c>
      <x:c r="E43" s="2"/>
      <x:c r="F43" s="2"/>
      <x:c r="G43" s="2"/>
      <x:c r="H43" s="44" t="str">
        <x:f>TEXT(B43,"0%")</x:f>
        <x:v>8%</x:v>
      </x:c>
      <x:c r="I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</x:row>
  </x:sheetData>
  <x:pageMargins left="0.7" right="0.7" top="0.75" bottom="0.75" header="0.3" footer="0.3"/>
  <x:drawing xmlns:r="http://schemas.openxmlformats.org/officeDocument/2006/relationships" r:id="R4d8e5183cca247de"/>
</x:worksheet>
</file>

<file path=xl/worksheets/sheet8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2.8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6" t="str">
        <x:v>Kurslistens oplysninger</x:v>
      </x:c>
      <x:c r="C6" s="6"/>
      <x:c r="D6" s="6"/>
      <x:c r="E6" s="6"/>
      <x:c r="F6" s="6"/>
      <x:c r="G6" s="6"/>
      <x:c r="H6" s="6"/>
      <x:c r="I6" s="2"/>
    </x:row>
    <x:row r="7" ht="32" customHeight="1">
      <x:c r="A7" s="2"/>
      <x:c r="B7" s="25" t="str">
        <x:v>Obligation</x:v>
      </x:c>
      <x:c r="C7" s="25" t="str">
        <x:v>Clean kurs</x:v>
      </x:c>
      <x:c r="D7" s="25" t="str">
        <x:v>Årlig kupon</x:v>
      </x:c>
      <x:c r="E7" s="25" t="str">
        <x:v>Terminer pr. år</x:v>
      </x:c>
      <x:c r="F7" s="2"/>
      <x:c r="G7" s="2"/>
      <x:c r="H7" s="2"/>
      <x:c r="I7" s="2"/>
    </x:row>
    <x:row r="8" ht="23" customHeight="1">
      <x:c r="A8" s="2"/>
      <x:c r="B8" s="2" t="str">
        <x:v>X</x:v>
      </x:c>
      <x:c r="C8" s="9" t="n">
        <x:v>101.2</x:v>
      </x:c>
      <x:c r="D8" s="12" t="n">
        <x:v>0.03</x:v>
      </x:c>
      <x:c r="E8" s="14" t="n">
        <x:v>1</x:v>
      </x:c>
      <x:c r="F8" s="2"/>
      <x:c r="G8" s="2"/>
      <x:c r="H8" s="2"/>
      <x:c r="I8" s="2"/>
    </x:row>
    <x:row r="9" ht="23" customHeight="1">
      <x:c r="A9" s="2"/>
      <x:c r="B9" s="2" t="str">
        <x:v>Y</x:v>
      </x:c>
      <x:c r="C9" s="9" t="n">
        <x:v>99.1</x:v>
      </x:c>
      <x:c r="D9" s="12" t="n">
        <x:v>0.03</x:v>
      </x:c>
      <x:c r="E9" s="14" t="n">
        <x:v>4</x:v>
      </x:c>
      <x:c r="F9" s="2"/>
      <x:c r="G9" s="2"/>
      <x:c r="H9" s="2"/>
      <x:c r="I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3" customHeight="1">
      <x:c r="A11" s="2"/>
      <x:c r="B11" s="2" t="str">
        <x:v>Nominel beholdning i X, kr.</x:v>
      </x:c>
      <x:c r="C11" s="9" t="n">
        <x:v>300000</x:v>
      </x:c>
      <x:c r="D11" s="2"/>
      <x:c r="E11" s="2"/>
      <x:c r="F11" s="2"/>
      <x:c r="G11" s="2"/>
      <x:c r="H11" s="2"/>
      <x:c r="I11" s="2"/>
    </x:row>
    <x:row r="12" ht="23" customHeight="1">
      <x:c r="A12" s="2"/>
      <x:c r="B12" s="2" t="str">
        <x:v>Optjent andel f (valgfri)</x:v>
      </x:c>
      <x:c r="C12" s="12"/>
      <x:c r="D12" s="2"/>
      <x:c r="E12" s="2" t="str">
        <x:v>Tom = valør mangler. 0 = ingen optjent rente.</x:v>
      </x:c>
      <x:c r="F12" s="2"/>
      <x:c r="G12" s="2"/>
      <x:c r="H12" s="2"/>
      <x:c r="I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3" customHeight="1">
      <x:c r="A15" s="2"/>
      <x:c r="B15" s="2" t="str">
        <x:v>(a) Y: kupon pr. termin</x:v>
      </x:c>
      <x:c r="C15" s="15" t="n">
        <x:f>100*D9/E9</x:f>
        <x:v>0.75</x:v>
      </x:c>
      <x:c r="D15" s="2"/>
      <x:c r="E15" s="2"/>
      <x:c r="F15" s="2"/>
      <x:c r="G15" s="2"/>
      <x:c r="H15" s="2"/>
      <x:c r="I15" s="2"/>
    </x:row>
    <x:row r="16" ht="23" customHeight="1">
      <x:c r="A16" s="2"/>
      <x:c r="B16" s="2" t="str">
        <x:v>Y: kuponer pr. år</x:v>
      </x:c>
      <x:c r="C16" s="15" t="n">
        <x:f>C15*E9</x:f>
        <x:v>3</x:v>
      </x:c>
      <x:c r="D16" s="2"/>
      <x:c r="E16" s="2"/>
      <x:c r="F16" s="2"/>
      <x:c r="G16" s="2"/>
      <x:c r="H16" s="2"/>
      <x:c r="I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3" customHeight="1">
      <x:c r="A18" s="2"/>
      <x:c r="B18" s="2" t="str">
        <x:v>Årlig rente ved pari for Y</x:v>
      </x:c>
      <x:c r="C18" s="48" t="n">
        <x:f>(1+D9/E9)^E9-1</x:f>
        <x:v>0.030339190664062654</x:v>
      </x:c>
      <x:c r="D18" s="2"/>
      <x:c r="E18" s="2"/>
      <x:c r="F18" s="2"/>
      <x:c r="G18" s="2"/>
      <x:c r="H18" s="2"/>
      <x:c r="I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3" customHeight="1">
      <x:c r="A20" s="2"/>
      <x:c r="B20" s="16" t="str">
        <x:v>(b) Med de oprindelige kurser er svaret Y: under pari giver kursgevinst ud over kuponerne.</x:v>
      </x:c>
      <x:c r="C20" s="16"/>
      <x:c r="D20" s="16"/>
      <x:c r="E20" s="16"/>
      <x:c r="F20" s="16"/>
      <x:c r="G20" s="16"/>
      <x:c r="H20" s="16"/>
      <x:c r="I20" s="2"/>
    </x:row>
    <x:row r="21" ht="23" customHeight="1">
      <x:c r="A21" s="2"/>
      <x:c r="B21" s="16" t="str">
        <x:v>Ved indfrielse til 100 er Y’s terminsrente over kupon pr. termin, og årsrenten over C18.</x:v>
      </x:c>
      <x:c r="C21" s="16"/>
      <x:c r="D21" s="16"/>
      <x:c r="E21" s="16"/>
      <x:c r="F21" s="16"/>
      <x:c r="G21" s="16"/>
      <x:c r="H21" s="16"/>
      <x:c r="I21" s="2"/>
    </x:row>
    <x:row r="22" ht="23" customHeight="1">
      <x:c r="A22" s="2"/>
      <x:c r="B22" s="16" t="str">
        <x:v>Med opgavens oprindelige tal har X en effektiv årsrente under 3 %. Præcis YTM kræver løbetid og betalingsprofil.</x:v>
      </x:c>
      <x:c r="C22" s="16"/>
      <x:c r="D22" s="16"/>
      <x:c r="E22" s="16"/>
      <x:c r="F22" s="16"/>
      <x:c r="G22" s="16"/>
      <x:c r="H22" s="16"/>
      <x:c r="I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3" customHeight="1">
      <x:c r="A24" s="2"/>
      <x:c r="B24" s="2" t="str">
        <x:v>(c) Clean kursværdi, kr.</x:v>
      </x:c>
      <x:c r="C24" s="15" t="n">
        <x:f>C11*C8/100</x:f>
        <x:v>303600</x:v>
      </x:c>
      <x:c r="D24" s="2"/>
      <x:c r="E24" s="2"/>
      <x:c r="F24" s="2"/>
      <x:c r="G24" s="2"/>
      <x:c r="H24" s="2"/>
      <x:c r="I24" s="2"/>
    </x:row>
    <x:row r="25" ht="23" customHeight="1">
      <x:c r="A25" s="2"/>
      <x:c r="B25" s="2" t="str">
        <x:v>X: årlig kupon, kr.</x:v>
      </x:c>
      <x:c r="C25" s="15" t="n">
        <x:f>C11*D8</x:f>
        <x:v>9000</x:v>
      </x:c>
      <x:c r="D25" s="2"/>
      <x:c r="E25" s="2"/>
      <x:c r="F25" s="2"/>
      <x:c r="G25" s="2"/>
      <x:c r="H25" s="2"/>
      <x:c r="I25" s="2"/>
    </x:row>
    <x:row r="26" ht="23" customHeight="1">
      <x:c r="A26" s="2"/>
      <x:c r="B26" s="2" t="str">
        <x:v>Kupon pr. termin i X, kr.</x:v>
      </x:c>
      <x:c r="C26" s="15" t="n">
        <x:f>C25/E8</x:f>
        <x:v>9000</x:v>
      </x:c>
      <x:c r="D26" s="2"/>
      <x:c r="E26" s="2"/>
      <x:c r="F26" s="2"/>
      <x:c r="G26" s="2"/>
      <x:c r="H26" s="2"/>
      <x:c r="I26" s="2"/>
    </x:row>
    <x:row r="27" ht="23" customHeight="1">
      <x:c r="A27" s="2"/>
      <x:c r="B27" s="2" t="str">
        <x:v>Vedhængende rente, kr.</x:v>
      </x:c>
      <x:c r="C27" s="15" t="str">
        <x:f>IF(ISBLANK(C12),"Valør mangler",C26*C12)</x:f>
        <x:v>Valør mangler</x:v>
      </x:c>
      <x:c r="D27" s="2"/>
      <x:c r="E27" s="2"/>
      <x:c r="F27" s="2"/>
      <x:c r="G27" s="2"/>
      <x:c r="H27" s="2"/>
      <x:c r="I27" s="2"/>
    </x:row>
    <x:row r="28" ht="23" customHeight="1">
      <x:c r="A28" s="2"/>
      <x:c r="B28" s="19" t="str">
        <x:v>Dirty afregning, kr.</x:v>
      </x:c>
      <x:c r="C28" s="20" t="str">
        <x:f>IF(ISBLANK(C12),"Valør mangler",C24+C27)</x:f>
        <x:v>Valør mangler</x:v>
      </x:c>
      <x:c r="D28" s="2"/>
      <x:c r="E28" s="2"/>
      <x:c r="F28" s="2"/>
      <x:c r="G28" s="2"/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3" customHeight="1">
      <x:c r="A30" s="2"/>
      <x:c r="B30" s="16" t="str">
        <x:v>(c) Opgaven giver ikke den optjente andel. Derfor står afregningsbeløbet åbent.</x:v>
      </x:c>
      <x:c r="C30" s="16"/>
      <x:c r="D30" s="16"/>
      <x:c r="E30" s="16"/>
      <x:c r="F30" s="16"/>
      <x:c r="G30" s="16"/>
      <x:c r="H30" s="16"/>
      <x:c r="I30" s="2"/>
    </x:row>
    <x:row r="31" ht="23" customHeight="1">
      <x:c r="A31" s="2"/>
      <x:c r="B31" s="16" t="str">
        <x:v>Indtast fx 50 % i C12 for at undersøge en halv kuponperiode, eller 0 % lige efter termin.</x:v>
      </x:c>
      <x:c r="C31" s="16"/>
      <x:c r="D31" s="16"/>
      <x:c r="E31" s="16"/>
      <x:c r="F31" s="16"/>
      <x:c r="G31" s="16"/>
      <x:c r="H31" s="16"/>
      <x:c r="I31" s="2"/>
    </x:row>
    <x:row r="32" ht="23" customHeight="1">
      <x:c r="A32" s="2"/>
      <x:c r="B32" s="16" t="str">
        <x:v>f skal være mellem 0 og 1. Det valgfri forsøg er ikke en ekstra oplysning fra opgaven.</x:v>
      </x:c>
      <x:c r="C32" s="16"/>
      <x:c r="D32" s="16"/>
      <x:c r="E32" s="16"/>
      <x:c r="F32" s="16"/>
      <x:c r="G32" s="16"/>
      <x:c r="H32" s="16"/>
      <x:c r="I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2"/>
      <x:c r="B34" s="16" t="str">
        <x:v>Kursværdi og afregning er kun ens, når vedhængende rente er nul, og der ikke er handelsomkostninger.</x:v>
      </x:c>
      <x:c r="C34" s="16"/>
      <x:c r="D34" s="16"/>
      <x:c r="E34" s="16"/>
      <x:c r="F34" s="16"/>
      <x:c r="G34" s="16"/>
      <x:c r="H34" s="16"/>
      <x:c r="I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</x:row>
  </x:sheetData>
  <x:dataValidations count="1">
    <x:dataValidation type="decimal" operator="between" sqref="C12">
      <x:formula1>0</x:formula1>
      <x:formula2>1</x:formula2>
    </x:dataValidation>
  </x:dataValidations>
  <x:pageMargins left="0.7" right="0.7" top="0.75" bottom="0.75" header="0.3" footer="0.3"/>
</x:worksheet>
</file>