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35c7bd6bc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.1" sheetId="1" r:id="R0e7fef2c0a564dfb"/>
    <x:sheet xmlns:r="http://schemas.openxmlformats.org/officeDocument/2006/relationships" name="4.2" sheetId="2" r:id="Rc2e9eb3421ce4f51"/>
    <x:sheet xmlns:r="http://schemas.openxmlformats.org/officeDocument/2006/relationships" name="4.3" sheetId="3" r:id="R3a0520b67f4841d6"/>
    <x:sheet xmlns:r="http://schemas.openxmlformats.org/officeDocument/2006/relationships" name="4.4" sheetId="4" r:id="R59995f87705f400e"/>
    <x:sheet xmlns:r="http://schemas.openxmlformats.org/officeDocument/2006/relationships" name="4.5" sheetId="5" r:id="Rbe5067e6f9fb4b6f"/>
    <x:sheet xmlns:r="http://schemas.openxmlformats.org/officeDocument/2006/relationships" name="4.6" sheetId="6" r:id="Re9d77af7aa3e49e8"/>
    <x:sheet xmlns:r="http://schemas.openxmlformats.org/officeDocument/2006/relationships" name="4.7" sheetId="7" r:id="R079034469a1d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-#,##0.00;0.00"/>
    <x:numFmt numFmtId="201" formatCode="0.00%;-0.00%;0.00%"/>
    <x:numFmt numFmtId="202" formatCode="0.0000"/>
    <x:numFmt numFmtId="203" formatCode="0.000"/>
    <x:numFmt numFmtId="204" formatCode="0.000000"/>
    <x:numFmt numFmtId="205" formatCode="0"/>
    <x:numFmt numFmtId="206" formatCode="0.00"/>
    <x:numFmt numFmtId="207" formatCode="#,##0"/>
    <x:numFmt numFmtId="208" formatCode="#,##0.00"/>
    <x:numFmt numFmtId="209" formatCode="General"/>
  </x:numFmts>
  <x:fonts count="11">
    <x:font>
      <x:sz val="11"/>
      <x:name val="Carlito"/>
    </x:font>
    <x:font>
      <x:sz val="11"/>
      <x:color rgb="FF142F44"/>
      <x:name val="Arial"/>
    </x:font>
    <x:font>
      <x:b/>
      <x:sz val="17"/>
      <x:color rgb="FF142F44"/>
      <x:name val="Arial"/>
    </x:font>
    <x:font>
      <x:b/>
      <x:sz val="11"/>
      <x:color rgb="FF142F44"/>
      <x:name val="Arial"/>
    </x:font>
    <x:font>
      <x:sz val="11"/>
      <x:color rgb="FF0000FF"/>
      <x:name val="Arial"/>
    </x:font>
    <x:font>
      <x:sz val="11"/>
      <x:color rgb="FF53667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sz val="11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4F6"/>
      </x:patternFill>
    </x:fill>
    <x:fill>
      <x:patternFill patternType="solid">
        <x:fgColor rgb="FFFFF2CC"/>
      </x:patternFill>
    </x:fill>
    <x:fill>
      <x:patternFill patternType="solid">
        <x:fgColor rgb="FF142F4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/>
      <x:top style="thin">
        <x:color rgb="FF142F44"/>
      </x:top>
      <x:bottom/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203" fontId="9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3" fontId="9" fillId="2" borderId="2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7" fontId="4" fillId="3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8" fillId="0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200" fontId="9" fillId="2" borderId="2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9" fontId="8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207" fontId="8" fillId="0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6" fontId="4" fillId="3" borderId="0" xfId="0" applyNumberFormat="1" applyFont="1" applyFill="1" applyBorder="1" applyAlignment="1">
      <x:alignment vertical="center"/>
    </x:xf>
    <x:xf numFmtId="207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7" fontId="9" fillId="2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vertical="center"/>
    </x:xf>
    <x:xf numFmtId="207" fontId="9" fillId="2" borderId="2" xfId="0" applyNumberFormat="1" applyFont="1" applyFill="1" applyBorder="1" applyAlignment="1">
      <x:alignment vertical="center"/>
    </x:xf>
    <x:xf numFmtId="201" fontId="9" fillId="2" borderId="2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4" fontId="8" fillId="2" borderId="0" xfId="0" applyNumberFormat="1" applyFont="1" applyFill="1" applyBorder="1" applyAlignment="1">
      <x:alignment vertical="center"/>
    </x:xf>
    <x:xf numFmtId="204" fontId="9" fillId="2" borderId="0" xfId="0" applyNumberFormat="1" applyFont="1" applyFill="1" applyBorder="1" applyAlignment="1">
      <x:alignment vertical="center"/>
    </x:xf>
    <x:xf numFmtId="204" fontId="9" fillId="2" borderId="2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0ce9f710749fa" /><Relationship Type="http://schemas.openxmlformats.org/officeDocument/2006/relationships/theme" Target="/xl/theme/theme1.xml" Id="R63e46f4402bd42ab" /><Relationship Type="http://schemas.openxmlformats.org/officeDocument/2006/relationships/sharedStrings" Target="/xl/sharedStrings.xml" Id="Rc0e81b1ecb4f4b57" /><Relationship Type="http://schemas.openxmlformats.org/officeDocument/2006/relationships/worksheet" Target="/xl/worksheets/sheet1.xml" Id="R0e7fef2c0a564dfb" /><Relationship Type="http://schemas.openxmlformats.org/officeDocument/2006/relationships/worksheet" Target="/xl/worksheets/sheet2.xml" Id="Rc2e9eb3421ce4f51" /><Relationship Type="http://schemas.openxmlformats.org/officeDocument/2006/relationships/worksheet" Target="/xl/worksheets/sheet3.xml" Id="R3a0520b67f4841d6" /><Relationship Type="http://schemas.openxmlformats.org/officeDocument/2006/relationships/worksheet" Target="/xl/worksheets/sheet4.xml" Id="R59995f87705f400e" /><Relationship Type="http://schemas.openxmlformats.org/officeDocument/2006/relationships/worksheet" Target="/xl/worksheets/sheet5.xml" Id="Rbe5067e6f9fb4b6f" /><Relationship Type="http://schemas.openxmlformats.org/officeDocument/2006/relationships/worksheet" Target="/xl/worksheets/sheet6.xml" Id="Re9d77af7aa3e49e8" /><Relationship Type="http://schemas.openxmlformats.org/officeDocument/2006/relationships/worksheet" Target="/xl/worksheets/sheet7.xml" Id="R079034469a1d43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8da718ee4d454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f1ae719f3504c6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ea3fcc96f044b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Hvor ligger obligationernes værdi i tid?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S: PV-vægt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'4.1'!$B$23:$B$26</c:f>
              <c:strCache>
                <c:ptCount val="0"/>
              </c:strCache>
            </c:strRef>
          </c:cat>
          <c:val>
            <c:numRef>
              <c:f>'4.1'!$C$23:$C$26</c:f>
              <c:numCache>
                <c:formatCode>0.00%;-0.00%;0.00%</c:formatCode>
                <c:ptCount val="0"/>
              </c:numCache>
            </c:numRef>
          </c:val>
        </c:ser>
        <c:ser>
          <c:idx val="1"/>
          <c:order val="1"/>
          <c:tx>
            <c:v>A: PV-vægt</c:v>
          </c:tx>
          <c:spPr>
            <a:solidFill xmlns:a="http://schemas.openxmlformats.org/drawingml/2006/main">
              <a:srgbClr val="CA7A20"/>
            </a:solidFill>
          </c:spPr>
          <c:invertIfNegative val="0"/>
          <c:cat>
            <c:strRef>
              <c:f>'4.1'!$B$23:$B$26</c:f>
              <c:strCache>
                <c:ptCount val="0"/>
              </c:strCache>
            </c:strRef>
          </c:cat>
          <c:val>
            <c:numRef>
              <c:f>'4.1'!$D$23:$D$26</c:f>
              <c:numCache>
                <c:formatCode>0.00%;-0.00%;0.00%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Andel af kursen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Krumningen forklarer forskellen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Faktisk kurs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'4.3'!$F$39:$F$47</c:f>
              <c:strCache>
                <c:ptCount val="0"/>
              </c:strCache>
            </c:strRef>
          </c:cat>
          <c:val>
            <c:numRef>
              <c:f>'4.3'!$C$39:$C$47</c:f>
              <c:numCache>
                <c:formatCode>#,##0.00;-#,##0.00;0.00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Kun varighed</c:v>
          </c:tx>
          <c:spPr>
            <a:solidFill xmlns:a="http://schemas.openxmlformats.org/drawingml/2006/main">
              <a:srgbClr val="CA7A20"/>
            </a:solidFill>
            <a:ln xmlns:a="http://schemas.openxmlformats.org/drawingml/2006/main" w="19050">
              <a:solidFill>
                <a:srgbClr val="CA7A20"/>
              </a:solidFill>
              <a:prstDash val="solid"/>
            </a:ln>
          </c:spPr>
          <c:marker>
            <c:symbol val="none"/>
          </c:marker>
          <c:cat>
            <c:strRef>
              <c:f>'4.3'!$F$39:$F$47</c:f>
              <c:strCache>
                <c:ptCount val="0"/>
              </c:strCache>
            </c:strRef>
          </c:cat>
          <c:val>
            <c:numRef>
              <c:f>'4.3'!$D$39:$D$47</c:f>
              <c:numCache>
                <c:formatCode>#,##0.00;-#,##0.00;0.00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Varighed + konveksitet</c:v>
          </c:tx>
          <c:spPr>
            <a:solidFill xmlns:a="http://schemas.openxmlformats.org/drawingml/2006/main">
              <a:srgbClr val="142F44"/>
            </a:solidFill>
            <a:ln xmlns:a="http://schemas.openxmlformats.org/drawingml/2006/main" w="19050">
              <a:solidFill>
                <a:srgbClr val="142F44"/>
              </a:solidFill>
              <a:prstDash val="solid"/>
            </a:ln>
          </c:spPr>
          <c:marker>
            <c:symbol val="none"/>
          </c:marker>
          <c:cat>
            <c:strRef>
              <c:f>'4.3'!$F$39:$F$47</c:f>
              <c:strCache>
                <c:ptCount val="0"/>
              </c:strCache>
            </c:strRef>
          </c:cat>
          <c:val>
            <c:numRef>
              <c:f>'4.3'!$E$39:$E$47</c:f>
              <c:numCache>
                <c:formatCode>#,##0.00;-#,##0.00;0.00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Effektiv årlig rente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25"/>
          <c:min val="8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Kurs pr. 100 nominel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5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Kursfald, når kun én spotrente stiger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Kursfald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'4.6'!$B$28:$B$30</c:f>
              <c:strCache>
                <c:ptCount val="0"/>
              </c:strCache>
            </c:strRef>
          </c:cat>
          <c:val>
            <c:numRef>
              <c:f>'4.6'!$F$28:$F$30</c:f>
              <c:numCache>
                <c:formatCode>#,##0.00;-#,##0.00;0.00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Kurspoint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47</xdr:row>
      <xdr:rowOff>0</xdr:rowOff>
    </xdr:from>
    <xdr:to>
      <xdr:col>8</xdr:col>
      <xdr:colOff>0</xdr:colOff>
      <xdr:row>65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8da718ee4d454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49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1ae719f3504c6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40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a3fcc96f044b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98722dbba049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8a71d8eaa734a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8abcc49853724064" /></Relationships>
</file>

<file path=xl/worksheets/sheet1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4.1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0.06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Effektiv årlig rente</x:v>
      </x:c>
      <x:c r="C9" s="12" t="n">
        <x:v>0.05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13" t="str">
        <x:v>Fire årlige betalinger. Gule felter er input. Kurser og betalinger er pr. 100 nominel.</x:v>
      </x:c>
      <x:c r="C11" s="13"/>
      <x:c r="D11" s="13"/>
      <x:c r="E11" s="13"/>
      <x:c r="F11" s="13"/>
      <x:c r="G11" s="13"/>
      <x:c r="H11" s="13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6" t="str">
        <x:v>(a) Stående obligation S</x:v>
      </x:c>
      <x:c r="C13" s="6"/>
      <x:c r="D13" s="6"/>
      <x:c r="E13" s="6"/>
      <x:c r="F13" s="6"/>
      <x:c r="G13" s="6"/>
      <x:c r="H13" s="6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34" customHeight="1">
      <x:c r="A15" s="2"/>
      <x:c r="B15" s="18" t="str">
        <x:v>År</x:v>
      </x:c>
      <x:c r="C15" s="18" t="str">
        <x:v>Restgæld primo</x:v>
      </x:c>
      <x:c r="D15" s="18" t="str">
        <x:v>Kupon</x:v>
      </x:c>
      <x:c r="E15" s="18" t="str">
        <x:v>Afdrag</x:v>
      </x:c>
      <x:c r="F15" s="18" t="str">
        <x:v>Betaling</x:v>
      </x:c>
      <x:c r="G15" s="18" t="str">
        <x:v>Nutidsværdi</x:v>
      </x:c>
      <x:c r="H15" s="18" t="str">
        <x:v>Vægt × år</x:v>
      </x:c>
      <x:c r="I15" s="2"/>
    </x:row>
    <x:row r="16" ht="24" customHeight="1">
      <x:c r="A16" s="2"/>
      <x:c r="B16" s="2" t="n">
        <x:v>1</x:v>
      </x:c>
      <x:c r="C16" s="19" t="n">
        <x:f>$C$7</x:f>
        <x:v>100</x:v>
      </x:c>
      <x:c r="D16" s="19" t="n">
        <x:f>C16*$C$8</x:f>
        <x:v>6</x:v>
      </x:c>
      <x:c r="E16" s="19" t="n">
        <x:f>0</x:f>
        <x:v>0</x:v>
      </x:c>
      <x:c r="F16" s="19" t="n">
        <x:f>D16+E16</x:f>
        <x:v>6</x:v>
      </x:c>
      <x:c r="G16" s="19" t="n">
        <x:f>F16/(1+$C$9)^B16</x:f>
        <x:v>5.714285714285714</x:v>
      </x:c>
      <x:c r="H16" s="21" t="n">
        <x:f>G16/$G$20*B16</x:f>
        <x:v>0.05518598927783285</x:v>
      </x:c>
      <x:c r="I16" s="2"/>
    </x:row>
    <x:row r="17" ht="24" customHeight="1">
      <x:c r="A17" s="2"/>
      <x:c r="B17" s="2" t="n">
        <x:v>2</x:v>
      </x:c>
      <x:c r="C17" s="19" t="n">
        <x:f>$C$7</x:f>
        <x:v>100</x:v>
      </x:c>
      <x:c r="D17" s="19" t="n">
        <x:f>C17*$C$8</x:f>
        <x:v>6</x:v>
      </x:c>
      <x:c r="E17" s="19" t="n">
        <x:f>0</x:f>
        <x:v>0</x:v>
      </x:c>
      <x:c r="F17" s="19" t="n">
        <x:f>D17+E17</x:f>
        <x:v>6</x:v>
      </x:c>
      <x:c r="G17" s="19" t="n">
        <x:f>F17/(1+$C$9)^B17</x:f>
        <x:v>5.442176870748299</x:v>
      </x:c>
      <x:c r="H17" s="21" t="n">
        <x:f>G17/$G$20*B17</x:f>
        <x:v>0.10511617005301495</x:v>
      </x:c>
      <x:c r="I17" s="2"/>
    </x:row>
    <x:row r="18" ht="24" customHeight="1">
      <x:c r="A18" s="2"/>
      <x:c r="B18" s="2" t="n">
        <x:v>3</x:v>
      </x:c>
      <x:c r="C18" s="19" t="n">
        <x:f>$C$7</x:f>
        <x:v>100</x:v>
      </x:c>
      <x:c r="D18" s="19" t="n">
        <x:f>C18*$C$8</x:f>
        <x:v>6</x:v>
      </x:c>
      <x:c r="E18" s="19" t="n">
        <x:f>0</x:f>
        <x:v>0</x:v>
      </x:c>
      <x:c r="F18" s="19" t="n">
        <x:f>D18+E18</x:f>
        <x:v>6</x:v>
      </x:c>
      <x:c r="G18" s="19" t="n">
        <x:f>F18/(1+$C$9)^B18</x:f>
        <x:v>5.183025591188856</x:v>
      </x:c>
      <x:c r="H18" s="21" t="n">
        <x:f>G18/$G$20*B18</x:f>
        <x:v>0.15016595721859277</x:v>
      </x:c>
      <x:c r="I18" s="2"/>
    </x:row>
    <x:row r="19" ht="24" customHeight="1">
      <x:c r="A19" s="2"/>
      <x:c r="B19" s="2" t="n">
        <x:v>4</x:v>
      </x:c>
      <x:c r="C19" s="19" t="n">
        <x:f>$C$7</x:f>
        <x:v>100</x:v>
      </x:c>
      <x:c r="D19" s="19" t="n">
        <x:f>C19*$C$8</x:f>
        <x:v>6</x:v>
      </x:c>
      <x:c r="E19" s="19" t="n">
        <x:f>$C$7</x:f>
        <x:v>100</x:v>
      </x:c>
      <x:c r="F19" s="19" t="n">
        <x:f>D19+E19</x:f>
        <x:v>106</x:v>
      </x:c>
      <x:c r="G19" s="19" t="n">
        <x:f>F19/(1+$C$9)^B19</x:f>
        <x:v>87.20646232793948</x:v>
      </x:c>
      <x:c r="H19" s="21" t="n">
        <x:f>G19/$G$20*B19</x:f>
        <x:v>3.3688024264911816</x:v>
      </x:c>
      <x:c r="I19" s="2"/>
    </x:row>
    <x:row r="20" ht="24" customHeight="1">
      <x:c r="A20" s="2"/>
      <x:c r="B20" s="26" t="str">
        <x:v>Kurs / varighed i år</x:v>
      </x:c>
      <x:c r="C20" s="26"/>
      <x:c r="D20" s="26"/>
      <x:c r="E20" s="26"/>
      <x:c r="F20" s="26"/>
      <x:c r="G20" s="27" t="n">
        <x:f>SUM(G16:G19)</x:f>
        <x:v>103.54595050416235</x:v>
      </x:c>
      <x:c r="H20" s="27" t="n">
        <x:f>SUM(H16:H19)</x:f>
        <x:v>3.679270543040622</x:v>
      </x:c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34" customHeight="1">
      <x:c r="A22" s="2"/>
      <x:c r="B22" s="18" t="str">
        <x:v>År</x:v>
      </x:c>
      <x:c r="C22" s="18" t="str">
        <x:v>S: PV-vægt</x:v>
      </x:c>
      <x:c r="D22" s="18" t="str">
        <x:v>A: PV-vægt</x:v>
      </x:c>
      <x:c r="E22" s="2"/>
      <x:c r="F22" s="2"/>
      <x:c r="G22" s="2"/>
      <x:c r="H22" s="2"/>
      <x:c r="I22" s="2"/>
    </x:row>
    <x:row r="23" ht="24" customHeight="1">
      <x:c r="A23" s="2"/>
      <x:c r="B23" s="2" t="n">
        <x:v>1</x:v>
      </x:c>
      <x:c r="C23" s="28" t="n">
        <x:f>G16/$G$20</x:f>
        <x:v>0.05518598927783285</x:v>
      </x:c>
      <x:c r="D23" s="28" t="n">
        <x:f>G31/$G$35</x:f>
        <x:v>0.288684248366736</x:v>
      </x:c>
      <x:c r="E23" s="2"/>
      <x:c r="F23" s="2"/>
      <x:c r="G23" s="2"/>
      <x:c r="H23" s="2"/>
      <x:c r="I23" s="2"/>
    </x:row>
    <x:row r="24" ht="24" customHeight="1">
      <x:c r="A24" s="2"/>
      <x:c r="B24" s="2" t="n">
        <x:v>2</x:v>
      </x:c>
      <x:c r="C24" s="28" t="n">
        <x:f>G17/$G$20</x:f>
        <x:v>0.052558085026507474</x:v>
      </x:c>
      <x:c r="D24" s="28" t="n">
        <x:f>G32/$G$35</x:f>
        <x:v>0.2616339578131709</x:v>
      </x:c>
      <x:c r="E24" s="2"/>
      <x:c r="F24" s="2"/>
      <x:c r="G24" s="2"/>
      <x:c r="H24" s="2"/>
      <x:c r="I24" s="2"/>
    </x:row>
    <x:row r="25" ht="24" customHeight="1">
      <x:c r="A25" s="2"/>
      <x:c r="B25" s="2" t="n">
        <x:v>3</x:v>
      </x:c>
      <x:c r="C25" s="28" t="n">
        <x:f>G18/$G$20</x:f>
        <x:v>0.05005531907286426</x:v>
      </x:c>
      <x:c r="D25" s="28" t="n">
        <x:f>G33/$G$35</x:f>
        <x:v>0.2365052725994765</x:v>
      </x:c>
      <x:c r="E25" s="2"/>
      <x:c r="F25" s="2"/>
      <x:c r="G25" s="2"/>
      <x:c r="H25" s="2"/>
      <x:c r="I25" s="2"/>
    </x:row>
    <x:row r="26" ht="24" customHeight="1">
      <x:c r="A26" s="2"/>
      <x:c r="B26" s="2" t="n">
        <x:v>4</x:v>
      </x:c>
      <x:c r="C26" s="28" t="n">
        <x:f>G19/$G$20</x:f>
        <x:v>0.8422006066227954</x:v>
      </x:c>
      <x:c r="D26" s="28" t="n">
        <x:f>G34/$G$35</x:f>
        <x:v>0.2131765212206166</x:v>
      </x:c>
      <x:c r="E26" s="2"/>
      <x:c r="F26" s="2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6" t="str">
        <x:v>(b) Serieobligation A</x:v>
      </x:c>
      <x:c r="C28" s="6"/>
      <x:c r="D28" s="6"/>
      <x:c r="E28" s="6"/>
      <x:c r="F28" s="6"/>
      <x:c r="G28" s="6"/>
      <x:c r="H28" s="6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4" customHeight="1">
      <x:c r="A30" s="2"/>
      <x:c r="B30" s="18" t="str">
        <x:v>År</x:v>
      </x:c>
      <x:c r="C30" s="18" t="str">
        <x:v>Restgæld primo</x:v>
      </x:c>
      <x:c r="D30" s="18" t="str">
        <x:v>Kupon</x:v>
      </x:c>
      <x:c r="E30" s="18" t="str">
        <x:v>Afdrag</x:v>
      </x:c>
      <x:c r="F30" s="18" t="str">
        <x:v>Betaling</x:v>
      </x:c>
      <x:c r="G30" s="18" t="str">
        <x:v>Nutidsværdi</x:v>
      </x:c>
      <x:c r="H30" s="18" t="str">
        <x:v>Vægt × år</x:v>
      </x:c>
      <x:c r="I30" s="2"/>
    </x:row>
    <x:row r="31" ht="24" customHeight="1">
      <x:c r="A31" s="2"/>
      <x:c r="B31" s="2" t="n">
        <x:v>1</x:v>
      </x:c>
      <x:c r="C31" s="19" t="n">
        <x:f>$C$7-(B31-1)*$C$7/4</x:f>
        <x:v>100</x:v>
      </x:c>
      <x:c r="D31" s="19" t="n">
        <x:f>C31*$C$8</x:f>
        <x:v>6</x:v>
      </x:c>
      <x:c r="E31" s="19" t="n">
        <x:f>$C$7/4</x:f>
        <x:v>25</x:v>
      </x:c>
      <x:c r="F31" s="19" t="n">
        <x:f>D31+E31</x:f>
        <x:v>31</x:v>
      </x:c>
      <x:c r="G31" s="19" t="n">
        <x:f>F31/(1+$C$9)^B31</x:f>
        <x:v>29.523809523809522</x:v>
      </x:c>
      <x:c r="H31" s="21" t="n">
        <x:f>G31/$G$35*B31</x:f>
        <x:v>0.288684248366736</x:v>
      </x:c>
      <x:c r="I31" s="2"/>
    </x:row>
    <x:row r="32" ht="24" customHeight="1">
      <x:c r="A32" s="2"/>
      <x:c r="B32" s="2" t="n">
        <x:v>2</x:v>
      </x:c>
      <x:c r="C32" s="19" t="n">
        <x:f>$C$7-(B32-1)*$C$7/4</x:f>
        <x:v>75</x:v>
      </x:c>
      <x:c r="D32" s="19" t="n">
        <x:f>C32*$C$8</x:f>
        <x:v>4.5</x:v>
      </x:c>
      <x:c r="E32" s="19" t="n">
        <x:f>$C$7/4</x:f>
        <x:v>25</x:v>
      </x:c>
      <x:c r="F32" s="19" t="n">
        <x:f>D32+E32</x:f>
        <x:v>29.5</x:v>
      </x:c>
      <x:c r="G32" s="19" t="n">
        <x:f>F32/(1+$C$9)^B32</x:f>
        <x:v>26.75736961451247</x:v>
      </x:c>
      <x:c r="H32" s="21" t="n">
        <x:f>G32/$G$35*B32</x:f>
        <x:v>0.5232679156263418</x:v>
      </x:c>
      <x:c r="I32" s="2"/>
    </x:row>
    <x:row r="33" ht="24" customHeight="1">
      <x:c r="A33" s="2"/>
      <x:c r="B33" s="2" t="n">
        <x:v>3</x:v>
      </x:c>
      <x:c r="C33" s="19" t="n">
        <x:f>$C$7-(B33-1)*$C$7/4</x:f>
        <x:v>50</x:v>
      </x:c>
      <x:c r="D33" s="19" t="n">
        <x:f>C33*$C$8</x:f>
        <x:v>3</x:v>
      </x:c>
      <x:c r="E33" s="19" t="n">
        <x:f>$C$7/4</x:f>
        <x:v>25</x:v>
      </x:c>
      <x:c r="F33" s="19" t="n">
        <x:f>D33+E33</x:f>
        <x:v>28</x:v>
      </x:c>
      <x:c r="G33" s="19" t="n">
        <x:f>F33/(1+$C$9)^B33</x:f>
        <x:v>24.187452758881328</x:v>
      </x:c>
      <x:c r="H33" s="21" t="n">
        <x:f>G33/$G$35*B33</x:f>
        <x:v>0.7095158177984295</x:v>
      </x:c>
      <x:c r="I33" s="2"/>
    </x:row>
    <x:row r="34" ht="24" customHeight="1">
      <x:c r="A34" s="2"/>
      <x:c r="B34" s="2" t="n">
        <x:v>4</x:v>
      </x:c>
      <x:c r="C34" s="19" t="n">
        <x:f>$C$7-(B34-1)*$C$7/4</x:f>
        <x:v>25</x:v>
      </x:c>
      <x:c r="D34" s="19" t="n">
        <x:f>C34*$C$8</x:f>
        <x:v>1.5</x:v>
      </x:c>
      <x:c r="E34" s="19" t="n">
        <x:f>$C$7/4</x:f>
        <x:v>25</x:v>
      </x:c>
      <x:c r="F34" s="19" t="n">
        <x:f>D34+E34</x:f>
        <x:v>26.5</x:v>
      </x:c>
      <x:c r="G34" s="19" t="n">
        <x:f>F34/(1+$C$9)^B34</x:f>
        <x:v>21.80161558198487</x:v>
      </x:c>
      <x:c r="H34" s="21" t="n">
        <x:f>G34/$G$35*B34</x:f>
        <x:v>0.8527060848824664</x:v>
      </x:c>
      <x:c r="I34" s="2"/>
    </x:row>
    <x:row r="35" ht="24" customHeight="1">
      <x:c r="A35" s="2"/>
      <x:c r="B35" s="26" t="str">
        <x:v>Kurs / varighed i år</x:v>
      </x:c>
      <x:c r="C35" s="26"/>
      <x:c r="D35" s="26"/>
      <x:c r="E35" s="26"/>
      <x:c r="F35" s="26"/>
      <x:c r="G35" s="27" t="n">
        <x:f>SUM(G31:G34)</x:f>
        <x:v>102.27024747918819</x:v>
      </x:c>
      <x:c r="H35" s="27" t="n">
        <x:f>SUM(H31:H34)</x:f>
        <x:v>2.374174066673974</x:v>
      </x:c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13" t="str">
        <x:v>Vægt = betalingens nutidsværdi / kursen. Varighed = summen af vægt × år.</x:v>
      </x:c>
      <x:c r="C37" s="13"/>
      <x:c r="D37" s="13"/>
      <x:c r="E37" s="13"/>
      <x:c r="F37" s="13"/>
      <x:c r="G37" s="13"/>
      <x:c r="H37" s="13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6" t="str">
        <x:v>(c) Samme slutdato, forskelligt tyngdepunkt</x:v>
      </x:c>
      <x:c r="C39" s="6"/>
      <x:c r="D39" s="6"/>
      <x:c r="E39" s="6"/>
      <x:c r="F39" s="6"/>
      <x:c r="G39" s="6"/>
      <x:c r="H39" s="6"/>
      <x:c r="I39" s="2"/>
    </x:row>
    <x:row r="40" ht="24" customHeight="1">
      <x:c r="A40" s="2"/>
      <x:c r="B40" s="13" t="str">
        <x:v>S betaler hele hovedstolen i år 4. A betaler en fjerdedel tilbage hvert år.</x:v>
      </x:c>
      <x:c r="C40" s="13"/>
      <x:c r="D40" s="13"/>
      <x:c r="E40" s="13"/>
      <x:c r="F40" s="13"/>
      <x:c r="G40" s="13"/>
      <x:c r="H40" s="13"/>
      <x:c r="I40" s="2"/>
    </x:row>
    <x:row r="41" ht="24" customHeight="1">
      <x:c r="A41" s="2"/>
      <x:c r="B41" s="13" t="str">
        <x:v>A flytter derfor mere værdi til tidligere år: tyngdepunktet ligger tidligere, og varigheden er kortere.</x:v>
      </x:c>
      <x:c r="C41" s="13"/>
      <x:c r="D41" s="13"/>
      <x:c r="E41" s="13"/>
      <x:c r="F41" s="13"/>
      <x:c r="G41" s="13"/>
      <x:c r="H41" s="13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6" t="str">
        <x:v>(d) Varighed er ikke en tilbagebetalingstid</x:v>
      </x:c>
      <x:c r="C43" s="6"/>
      <x:c r="D43" s="6"/>
      <x:c r="E43" s="6"/>
      <x:c r="F43" s="6"/>
      <x:c r="G43" s="6"/>
      <x:c r="H43" s="6"/>
      <x:c r="I43" s="2"/>
    </x:row>
    <x:row r="44" ht="24" customHeight="1">
      <x:c r="A44" s="2"/>
      <x:c r="B44" s="13" t="str">
        <x:v>3,68 år er en vægtet gennemsnitstid. Der kommer ingen betaling på netop det tidspunkt.</x:v>
      </x:c>
      <x:c r="C44" s="13"/>
      <x:c r="D44" s="13"/>
      <x:c r="E44" s="13"/>
      <x:c r="F44" s="13"/>
      <x:c r="G44" s="13"/>
      <x:c r="H44" s="13"/>
      <x:c r="I44" s="2"/>
    </x:row>
    <x:row r="45" ht="24" customHeight="1">
      <x:c r="A45" s="2"/>
      <x:c r="B45" s="13" t="str">
        <x:v>S betaler først hovedstolen i år 4. Varigheden siger ikke, hvornår købsprisen er tjent hjem.</x:v>
      </x:c>
      <x:c r="C45" s="13"/>
      <x:c r="D45" s="13"/>
      <x:c r="E45" s="13"/>
      <x:c r="F45" s="13"/>
      <x:c r="G45" s="13"/>
      <x:c r="H45" s="13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</x:sheetData>
  <x:pageMargins left="0.7" right="0.7" top="0.75" bottom="0.75" header="0.3" footer="0.3"/>
  <x:drawing xmlns:r="http://schemas.openxmlformats.org/officeDocument/2006/relationships" r:id="R8b98722dbba049cc"/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4.2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Obligation S fra 4.1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Kurs</x:v>
      </x:c>
      <x:c r="C7" s="64" t="n">
        <x:f>'4.1'!G20</x:f>
        <x:v>103.54595050416235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Macaulay-varighed, år</x:v>
      </x:c>
      <x:c r="C8" s="64" t="n">
        <x:f>'4.1'!H20</x:f>
        <x:v>3.679270543040622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Effektiv årlig rente</x:v>
      </x:c>
      <x:c r="C9" s="65" t="n">
        <x:f>'4.1'!C9</x:f>
        <x:v>0.05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6" t="str">
        <x:v>(a) Samme følsomhed i tre enheder</x:v>
      </x:c>
      <x:c r="C11" s="6"/>
      <x:c r="D11" s="6"/>
      <x:c r="E11" s="6"/>
      <x:c r="F11" s="6"/>
      <x:c r="G11" s="6"/>
      <x:c r="H11" s="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 t="str">
        <x:v>Modificeret varighed</x:v>
      </x:c>
      <x:c r="C13" s="23" t="n">
        <x:f>C8/(1+C9)</x:f>
        <x:v>3.5040671838482114</x:v>
      </x:c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Kronevarighed, kurspoint/pp</x:v>
      </x:c>
      <x:c r="C14" s="23" t="n">
        <x:f>C13*C7/100</x:f>
        <x:v>3.6283196718200643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 t="str">
        <x:v>BPV, kurspoint/bp</x:v>
      </x:c>
      <x:c r="C15" s="30" t="n">
        <x:f>C14/100</x:f>
        <x:v>0.03628319671820064</x:v>
      </x:c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13" t="str">
        <x:v>MD = D / (1 + rente). Kronevarighed = MD × kurs / 100. BPV = kronevarighed / 100.</x:v>
      </x:c>
      <x:c r="C17" s="13"/>
      <x:c r="D17" s="13"/>
      <x:c r="E17" s="13"/>
      <x:c r="F17" s="13"/>
      <x:c r="G17" s="13"/>
      <x:c r="H17" s="13"/>
      <x:c r="I17" s="2"/>
    </x:row>
    <x:row r="18" ht="24" customHeight="1">
      <x:c r="A18" s="2"/>
      <x:c r="B18" s="13" t="str">
        <x:v>pp = procentpoint; bp = basispunkt. Risikomålene vises positive; en rentestigning giver et kurstab.</x:v>
      </x:c>
      <x:c r="C18" s="13"/>
      <x:c r="D18" s="13"/>
      <x:c r="E18" s="13"/>
      <x:c r="F18" s="13"/>
      <x:c r="G18" s="13"/>
      <x:c r="H18" s="13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6" t="str">
        <x:v>(b) Fra basispunkter til kursændring</x:v>
      </x:c>
      <x:c r="C20" s="6"/>
      <x:c r="D20" s="6"/>
      <x:c r="E20" s="6"/>
      <x:c r="F20" s="6"/>
      <x:c r="G20" s="6"/>
      <x:c r="H20" s="6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2" t="str">
        <x:v>Rentestigning, bp</x:v>
      </x:c>
      <x:c r="C22" s="33" t="n">
        <x:v>25</x:v>
      </x:c>
      <x:c r="D22" s="2"/>
      <x:c r="E22" s="2"/>
      <x:c r="F22" s="2"/>
      <x:c r="G22" s="2"/>
      <x:c r="H22" s="2"/>
      <x:c r="I22" s="2"/>
    </x:row>
    <x:row r="23" ht="24" customHeight="1">
      <x:c r="A23" s="2"/>
      <x:c r="B23" s="2" t="str">
        <x:v>Renteændring som decimaltal</x:v>
      </x:c>
      <x:c r="C23" s="21" t="n">
        <x:f>C22/10000</x:f>
        <x:v>0.0025</x:v>
      </x:c>
      <x:c r="D23" s="2"/>
      <x:c r="E23" s="2"/>
      <x:c r="F23" s="2"/>
      <x:c r="G23" s="2"/>
      <x:c r="H23" s="2"/>
      <x:c r="I23" s="2"/>
    </x:row>
    <x:row r="24" ht="24" customHeight="1">
      <x:c r="A24" s="2"/>
      <x:c r="B24" s="2" t="str">
        <x:v>Renteændring, procentpoint</x:v>
      </x:c>
      <x:c r="C24" s="35" t="n">
        <x:f>C22/100</x:f>
        <x:v>0.25</x:v>
      </x:c>
      <x:c r="D24" s="2"/>
      <x:c r="E24" s="2"/>
      <x:c r="F24" s="2"/>
      <x:c r="G24" s="2"/>
      <x:c r="H24" s="2"/>
      <x:c r="I24" s="2"/>
    </x:row>
    <x:row r="25" ht="24" customHeight="1">
      <x:c r="A25" s="2"/>
      <x:c r="B25" s="2" t="str">
        <x:v>Estimeret kursændring, %</x:v>
      </x:c>
      <x:c r="C25" s="28" t="n">
        <x:f>-C13*C23</x:f>
        <x:v>-0.008760167959620528</x:v>
      </x:c>
      <x:c r="D25" s="2"/>
      <x:c r="E25" s="2"/>
      <x:c r="F25" s="2"/>
      <x:c r="G25" s="2"/>
      <x:c r="H25" s="2"/>
      <x:c r="I25" s="2"/>
    </x:row>
    <x:row r="26" ht="24" customHeight="1">
      <x:c r="A26" s="2"/>
      <x:c r="B26" s="2" t="str">
        <x:v>Estimeret ændring, kurspoint</x:v>
      </x:c>
      <x:c r="C26" s="19" t="n">
        <x:f>-C14*C24</x:f>
        <x:v>-0.9070799179550161</x:v>
      </x:c>
      <x:c r="D26" s="2"/>
      <x:c r="E26" s="2"/>
      <x:c r="F26" s="2"/>
      <x:c r="G26" s="2"/>
      <x:c r="H26" s="2"/>
      <x:c r="I26" s="2"/>
    </x:row>
    <x:row r="27" ht="24" customHeight="1">
      <x:c r="A27" s="2"/>
      <x:c r="B27" s="2" t="str">
        <x:v>Estimeret ny kurs</x:v>
      </x:c>
      <x:c r="C27" s="19" t="n">
        <x:f>C7+C26</x:f>
        <x:v>102.63887058620733</x:v>
      </x:c>
      <x:c r="D27" s="2"/>
      <x:c r="E27" s="2"/>
      <x:c r="F27" s="2"/>
      <x:c r="G27" s="2"/>
      <x:c r="H27" s="2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6" t="str">
        <x:v>(c) Fra kurs til kroner</x:v>
      </x:c>
      <x:c r="C29" s="6"/>
      <x:c r="D29" s="6"/>
      <x:c r="E29" s="6"/>
      <x:c r="F29" s="6"/>
      <x:c r="G29" s="6"/>
      <x:c r="H29" s="6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2" t="str">
        <x:v>Nominelt beløb, kr.</x:v>
      </x:c>
      <x:c r="C31" s="38" t="n">
        <x:v>20000000</x:v>
      </x:c>
      <x:c r="D31" s="2"/>
      <x:c r="E31" s="2"/>
      <x:c r="F31" s="2"/>
      <x:c r="G31" s="2"/>
      <x:c r="H31" s="2"/>
      <x:c r="I31" s="2"/>
    </x:row>
    <x:row r="32" ht="24" customHeight="1">
      <x:c r="A32" s="2"/>
      <x:c r="B32" s="2" t="str">
        <x:v>Rentestigning, bp</x:v>
      </x:c>
      <x:c r="C32" s="33" t="n">
        <x:v>50</x:v>
      </x:c>
      <x:c r="D32" s="2"/>
      <x:c r="E32" s="2"/>
      <x:c r="F32" s="2"/>
      <x:c r="G32" s="2"/>
      <x:c r="H32" s="2"/>
      <x:c r="I32" s="2"/>
    </x:row>
    <x:row r="33" ht="24" customHeight="1">
      <x:c r="A33" s="2"/>
      <x:c r="B33" s="2" t="str">
        <x:v>Markedsværdi, kr.</x:v>
      </x:c>
      <x:c r="C33" s="40" t="n">
        <x:f>C31*C7/100</x:f>
        <x:v>20709190.10083247</x:v>
      </x:c>
      <x:c r="D33" s="2"/>
      <x:c r="E33" s="2"/>
      <x:c r="F33" s="2"/>
      <x:c r="G33" s="2"/>
      <x:c r="H33" s="2"/>
      <x:c r="I33" s="2"/>
    </x:row>
    <x:row r="34" ht="24" customHeight="1">
      <x:c r="A34" s="2"/>
      <x:c r="B34" s="2" t="str">
        <x:v>Estimeret kronetab</x:v>
      </x:c>
      <x:c r="C34" s="40" t="n">
        <x:f>C33*C13*C32/10000</x:f>
        <x:v>362831.96718200645</x:v>
      </x:c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13" t="str">
        <x:v>Tabet er positivt her. Det er markedsværdien, der ganges med den procentvise kursnedgang.</x:v>
      </x:c>
      <x:c r="C36" s="13"/>
      <x:c r="D36" s="13"/>
      <x:c r="E36" s="13"/>
      <x:c r="F36" s="13"/>
      <x:c r="G36" s="13"/>
      <x:c r="H36" s="13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6" t="str">
        <x:v>(d) Fejlen er at blande enheder</x:v>
      </x:c>
      <x:c r="C38" s="6"/>
      <x:c r="D38" s="6"/>
      <x:c r="E38" s="6"/>
      <x:c r="F38" s="6"/>
      <x:c r="G38" s="6"/>
      <x:c r="H38" s="6"/>
      <x:c r="I38" s="2"/>
    </x:row>
    <x:row r="39" ht="24" customHeight="1">
      <x:c r="A39" s="2"/>
      <x:c r="B39" s="13" t="str">
        <x:v>25 bp = 0,25 procentpoint = 0,0025. Indsæt 0,0025 i MD-formlen, ikke 25.</x:v>
      </x:c>
      <x:c r="C39" s="13"/>
      <x:c r="D39" s="13"/>
      <x:c r="E39" s="13"/>
      <x:c r="F39" s="13"/>
      <x:c r="G39" s="13"/>
      <x:c r="H39" s="13"/>
      <x:c r="I39" s="2"/>
    </x:row>
    <x:row r="40" ht="24" customHeight="1">
      <x:c r="A40" s="2"/>
      <x:c r="B40" s="13" t="str">
        <x:v>MD × renteændring som decimal giver en relativ ændring. Gang derefter med kursen for at få kurspoint.</x:v>
      </x:c>
      <x:c r="C40" s="13"/>
      <x:c r="D40" s="13"/>
      <x:c r="E40" s="13"/>
      <x:c r="F40" s="13"/>
      <x:c r="G40" s="13"/>
      <x:c r="H40" s="13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13" t="str">
        <x:v>Alternativt: kronevarighed × 0,25 giver kursfaldet direkte i kurspoint.</x:v>
      </x:c>
      <x:c r="C42" s="13"/>
      <x:c r="D42" s="13"/>
      <x:c r="E42" s="13"/>
      <x:c r="F42" s="13"/>
      <x:c r="G42" s="13"/>
      <x:c r="H42" s="13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13" t="str">
        <x:v>Der regnes videre med uafrundede tal fra 4.1; små forskelle fra afrundede tal i slides kan forekomme.</x:v>
      </x:c>
      <x:c r="C44" s="13"/>
      <x:c r="D44" s="13"/>
      <x:c r="E44" s="13"/>
      <x:c r="F44" s="13"/>
      <x:c r="G44" s="13"/>
      <x:c r="H44" s="13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4.3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Obligation S fra 4.1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Effektiv årlig rente</x:v>
      </x:c>
      <x:c r="C7" s="65" t="n">
        <x:f>'4.1'!C9</x:f>
        <x:v>0.05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Kurs</x:v>
      </x:c>
      <x:c r="C8" s="64" t="n">
        <x:f>'4.1'!G20</x:f>
        <x:v>103.54595050416235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Kronevarighed, kurspoint/pp</x:v>
      </x:c>
      <x:c r="C9" s="64" t="n">
        <x:f>'4.2'!C14</x:f>
        <x:v>3.6283196718200643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6" t="str">
        <x:v>(a) Konveksitet: sene betalinger tæller ekstra</x:v>
      </x:c>
      <x:c r="C11" s="6"/>
      <x:c r="D11" s="6"/>
      <x:c r="E11" s="6"/>
      <x:c r="F11" s="6"/>
      <x:c r="G11" s="6"/>
      <x:c r="H11" s="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4" customHeight="1">
      <x:c r="A13" s="2"/>
      <x:c r="B13" s="18" t="str">
        <x:v>År</x:v>
      </x:c>
      <x:c r="C13" s="18" t="str">
        <x:v>Betaling</x:v>
      </x:c>
      <x:c r="D13" s="18" t="str">
        <x:v>Nutidsværdi</x:v>
      </x:c>
      <x:c r="E13" s="18" t="str">
        <x:v>År × (år + 1)</x:v>
      </x:c>
      <x:c r="F13" s="18" t="str">
        <x:v>Bidrag til summen</x:v>
      </x:c>
      <x:c r="G13" s="2"/>
      <x:c r="H13" s="2"/>
      <x:c r="I13" s="2"/>
    </x:row>
    <x:row r="14" ht="24" customHeight="1">
      <x:c r="A14" s="2"/>
      <x:c r="B14" s="2" t="n">
        <x:v>1</x:v>
      </x:c>
      <x:c r="C14" s="66" t="n">
        <x:f>'4.1'!F16</x:f>
        <x:v>6</x:v>
      </x:c>
      <x:c r="D14" s="19" t="n">
        <x:f>C14/(1+$C$7)^B14</x:f>
        <x:v>5.714285714285714</x:v>
      </x:c>
      <x:c r="E14" s="19" t="n">
        <x:f>B14*(B14+1)</x:f>
        <x:v>2</x:v>
      </x:c>
      <x:c r="F14" s="19" t="n">
        <x:f>D14*E14</x:f>
        <x:v>11.428571428571429</x:v>
      </x:c>
      <x:c r="G14" s="2"/>
      <x:c r="H14" s="2"/>
      <x:c r="I14" s="2"/>
    </x:row>
    <x:row r="15" ht="24" customHeight="1">
      <x:c r="A15" s="2"/>
      <x:c r="B15" s="2" t="n">
        <x:v>2</x:v>
      </x:c>
      <x:c r="C15" s="66" t="n">
        <x:f>'4.1'!F17</x:f>
        <x:v>6</x:v>
      </x:c>
      <x:c r="D15" s="19" t="n">
        <x:f>C15/(1+$C$7)^B15</x:f>
        <x:v>5.442176870748299</x:v>
      </x:c>
      <x:c r="E15" s="19" t="n">
        <x:f>B15*(B15+1)</x:f>
        <x:v>6</x:v>
      </x:c>
      <x:c r="F15" s="19" t="n">
        <x:f>D15*E15</x:f>
        <x:v>32.6530612244898</x:v>
      </x:c>
      <x:c r="G15" s="2"/>
      <x:c r="H15" s="2"/>
      <x:c r="I15" s="2"/>
    </x:row>
    <x:row r="16" ht="24" customHeight="1">
      <x:c r="A16" s="2"/>
      <x:c r="B16" s="2" t="n">
        <x:v>3</x:v>
      </x:c>
      <x:c r="C16" s="66" t="n">
        <x:f>'4.1'!F18</x:f>
        <x:v>6</x:v>
      </x:c>
      <x:c r="D16" s="19" t="n">
        <x:f>C16/(1+$C$7)^B16</x:f>
        <x:v>5.183025591188856</x:v>
      </x:c>
      <x:c r="E16" s="19" t="n">
        <x:f>B16*(B16+1)</x:f>
        <x:v>12</x:v>
      </x:c>
      <x:c r="F16" s="19" t="n">
        <x:f>D16*E16</x:f>
        <x:v>62.196307094266274</x:v>
      </x:c>
      <x:c r="G16" s="2"/>
      <x:c r="H16" s="2"/>
      <x:c r="I16" s="2"/>
    </x:row>
    <x:row r="17" ht="24" customHeight="1">
      <x:c r="A17" s="2"/>
      <x:c r="B17" s="2" t="n">
        <x:v>4</x:v>
      </x:c>
      <x:c r="C17" s="66" t="n">
        <x:f>'4.1'!F19</x:f>
        <x:v>106</x:v>
      </x:c>
      <x:c r="D17" s="19" t="n">
        <x:f>C17/(1+$C$7)^B17</x:f>
        <x:v>87.20646232793948</x:v>
      </x:c>
      <x:c r="E17" s="19" t="n">
        <x:f>B17*(B17+1)</x:f>
        <x:v>20</x:v>
      </x:c>
      <x:c r="F17" s="19" t="n">
        <x:f>D17*E17</x:f>
        <x:v>1744.1292465587894</x:v>
      </x:c>
      <x:c r="G17" s="2"/>
      <x:c r="H17" s="2"/>
      <x:c r="I17" s="2"/>
    </x:row>
    <x:row r="18" ht="24" customHeight="1">
      <x:c r="A18" s="2"/>
      <x:c r="B18" s="26" t="str">
        <x:v>Sum</x:v>
      </x:c>
      <x:c r="C18" s="26"/>
      <x:c r="D18" s="26"/>
      <x:c r="E18" s="26"/>
      <x:c r="F18" s="43" t="n">
        <x:f>SUM(F14:F17)</x:f>
        <x:v>1850.407186306117</x:v>
      </x:c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 t="str">
        <x:v>Kronekonveksitet, kurspoint/pp²</x:v>
      </x:c>
      <x:c r="C20" s="30" t="n">
        <x:f>F18/(1+C7)^2/10000</x:f>
        <x:v>0.16783738651302646</x:v>
      </x:c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13" t="str">
        <x:v>Divider summen med (1 + rente)² og med 10.000. Så kan renteændringen indsættes i procentpoint.</x:v>
      </x:c>
      <x:c r="C22" s="13"/>
      <x:c r="D22" s="13"/>
      <x:c r="E22" s="13"/>
      <x:c r="F22" s="13"/>
      <x:c r="G22" s="13"/>
      <x:c r="H22" s="13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6" t="str">
        <x:v>(b–c) Faktiske kurser og to estimater</x:v>
      </x:c>
      <x:c r="C24" s="6"/>
      <x:c r="D24" s="6"/>
      <x:c r="E24" s="6"/>
      <x:c r="F24" s="6"/>
      <x:c r="G24" s="6"/>
      <x:c r="H24" s="6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34" customHeight="1">
      <x:c r="A26" s="2"/>
      <x:c r="B26" s="18" t="str">
        <x:v>Renteændring, pp</x:v>
      </x:c>
      <x:c r="C26" s="18" t="str">
        <x:v>Ny rente</x:v>
      </x:c>
      <x:c r="D26" s="18" t="str">
        <x:v>Faktisk kurs</x:v>
      </x:c>
      <x:c r="E26" s="18" t="str">
        <x:v>Faktisk ændring</x:v>
      </x:c>
      <x:c r="F26" s="18" t="str">
        <x:v>Kun varighed</x:v>
      </x:c>
      <x:c r="G26" s="18" t="str">
        <x:v>Konveksitetsled</x:v>
      </x:c>
      <x:c r="H26" s="18" t="str">
        <x:v>Begge led</x:v>
      </x:c>
      <x:c r="I26" s="2"/>
    </x:row>
    <x:row r="27" ht="24" customHeight="1">
      <x:c r="A27" s="2"/>
      <x:c r="B27" s="9" t="n">
        <x:v>2</x:v>
      </x:c>
      <x:c r="C27" s="28" t="n">
        <x:f>$C$7+B27/100</x:f>
        <x:v>0.07</x:v>
      </x:c>
      <x:c r="D27" s="19" t="n">
        <x:f>$C$14/(1+C27)+$C$15/(1+C27)^2+$C$16/(1+C27)^3+$C$17/(1+C27)^4</x:f>
        <x:v>96.61278874353607</x:v>
      </x:c>
      <x:c r="E27" s="19" t="n">
        <x:f>D27-$C$8</x:f>
        <x:v>-6.933161760626277</x:v>
      </x:c>
      <x:c r="F27" s="19" t="n">
        <x:f>-$C$9*B27</x:f>
        <x:v>-7.256639343640129</x:v>
      </x:c>
      <x:c r="G27" s="19" t="n">
        <x:f>0.5*$C$20*B27^2</x:f>
        <x:v>0.3356747730260529</x:v>
      </x:c>
      <x:c r="H27" s="19" t="n">
        <x:f>F27+G27</x:f>
        <x:v>-6.920964570614076</x:v>
      </x:c>
      <x:c r="I27" s="2"/>
    </x:row>
    <x:row r="28" ht="24" customHeight="1">
      <x:c r="A28" s="2"/>
      <x:c r="B28" s="9" t="n">
        <x:v>-2</x:v>
      </x:c>
      <x:c r="C28" s="28" t="n">
        <x:f>$C$7+B28/100</x:f>
        <x:v>0.030000000000000002</x:v>
      </x:c>
      <x:c r="D28" s="19" t="n">
        <x:f>$C$14/(1+C28)+$C$15/(1+C28)^2+$C$16/(1+C28)^3+$C$17/(1+C28)^4</x:f>
        <x:v>111.1512952084311</x:v>
      </x:c>
      <x:c r="E28" s="19" t="n">
        <x:f>D28-$C$8</x:f>
        <x:v>7.605344704268745</x:v>
      </x:c>
      <x:c r="F28" s="19" t="n">
        <x:f>-$C$9*B28</x:f>
        <x:v>7.256639343640129</x:v>
      </x:c>
      <x:c r="G28" s="19" t="n">
        <x:f>0.5*$C$20*B28^2</x:f>
        <x:v>0.3356747730260529</x:v>
      </x:c>
      <x:c r="H28" s="19" t="n">
        <x:f>F28+G28</x:f>
        <x:v>7.592314116666182</x:v>
      </x:c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13" t="str">
        <x:v>Kursen i D og ændringerne i E–H måles i kurspoint. Minus er tab; plus er gevinst.</x:v>
      </x:c>
      <x:c r="C30" s="13"/>
      <x:c r="D30" s="13"/>
      <x:c r="E30" s="13"/>
      <x:c r="F30" s="13"/>
      <x:c r="G30" s="13"/>
      <x:c r="H30" s="13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6" t="str">
        <x:v>(d) Den rette linje ligger under den krumme priskurve</x:v>
      </x:c>
      <x:c r="C32" s="6"/>
      <x:c r="D32" s="6"/>
      <x:c r="E32" s="6"/>
      <x:c r="F32" s="6"/>
      <x:c r="G32" s="6"/>
      <x:c r="H32" s="6"/>
      <x:c r="I32" s="2"/>
    </x:row>
    <x:row r="33" ht="24" customHeight="1">
      <x:c r="A33" s="2"/>
      <x:c r="B33" s="13" t="str">
        <x:v>Varighed alene undervurderer gevinsten ved rentefald og overvurderer tabet ved rentestigning.</x:v>
      </x:c>
      <x:c r="C33" s="13"/>
      <x:c r="D33" s="13"/>
      <x:c r="E33" s="13"/>
      <x:c r="F33" s="13"/>
      <x:c r="G33" s="13"/>
      <x:c r="H33" s="13"/>
      <x:c r="I33" s="2"/>
    </x:row>
    <x:row r="34" ht="24" customHeight="1">
      <x:c r="A34" s="2"/>
      <x:c r="B34" s="13" t="str">
        <x:v>For denne obligation er konveksiteten positiv. Korrektionen er derfor positiv i begge retninger.</x:v>
      </x:c>
      <x:c r="C34" s="13"/>
      <x:c r="D34" s="13"/>
      <x:c r="E34" s="13"/>
      <x:c r="F34" s="13"/>
      <x:c r="G34" s="13"/>
      <x:c r="H34" s="13"/>
      <x:c r="I34" s="2"/>
    </x:row>
    <x:row r="35" ht="24" customHeight="1">
      <x:c r="A35" s="2"/>
      <x:c r="B35" s="13" t="str">
        <x:v>Varighed plus konveksitet kommer tættere på. Den faktiske kurs kræver, at alle betalinger prises igen.</x:v>
      </x:c>
      <x:c r="C35" s="13"/>
      <x:c r="D35" s="13"/>
      <x:c r="E35" s="13"/>
      <x:c r="F35" s="13"/>
      <x:c r="G35" s="13"/>
      <x:c r="H35" s="13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34" customHeight="1">
      <x:c r="A38" s="2"/>
      <x:c r="B38" s="18" t="str">
        <x:v>Ny rente</x:v>
      </x:c>
      <x:c r="C38" s="18" t="str">
        <x:v>Faktisk kurs</x:v>
      </x:c>
      <x:c r="D38" s="18" t="str">
        <x:v>Kun varighed</x:v>
      </x:c>
      <x:c r="E38" s="18" t="str">
        <x:v>Varighed + konveksitet</x:v>
      </x:c>
      <x:c r="F38" s="50" t="str">
        <x:v>Rente i graf</x:v>
      </x:c>
      <x:c r="G38" s="2"/>
      <x:c r="H38" s="2"/>
      <x:c r="I38" s="2"/>
    </x:row>
    <x:row r="39" ht="24" customHeight="1">
      <x:c r="A39" s="2"/>
      <x:c r="B39" s="28" t="n">
        <x:f>$C$7+(0-4)/100</x:f>
        <x:v>0.010000000000000002</x:v>
      </x:c>
      <x:c r="C39" s="19" t="n">
        <x:f>$C$14/(1+B39)+$C$15/(1+B39)^2+$C$16/(1+B39)^3+$C$17/(1+B39)^4</x:f>
        <x:v>119.50982775859185</x:v>
      </x:c>
      <x:c r="D39" s="19" t="n">
        <x:f>$C$8-$C$9*(B39-$C$7)*100</x:f>
        <x:v>118.05922919144261</x:v>
      </x:c>
      <x:c r="E39" s="19" t="n">
        <x:f>D39+0.5*$C$20*((B39-$C$7)*100)^2</x:f>
        <x:v>119.40192828354682</x:v>
      </x:c>
      <x:c r="F39" s="47" t="str">
        <x:f>TEXT(B39,"0%")</x:f>
        <x:v>1%</x:v>
      </x:c>
      <x:c r="G39" s="2"/>
      <x:c r="H39" s="2"/>
      <x:c r="I39" s="2"/>
    </x:row>
    <x:row r="40" ht="24" customHeight="1">
      <x:c r="A40" s="2"/>
      <x:c r="B40" s="28" t="n">
        <x:f>$C$7+(1-4)/100</x:f>
        <x:v>0.020000000000000004</x:v>
      </x:c>
      <x:c r="C40" s="19" t="n">
        <x:f>$C$14/(1+B40)+$C$15/(1+B40)^2+$C$16/(1+B40)^3+$C$17/(1+B40)^4</x:f>
        <x:v>115.23091479469716</x:v>
      </x:c>
      <x:c r="D40" s="19" t="n">
        <x:f>$C$8-$C$9*(B40-$C$7)*100</x:f>
        <x:v>114.43090951962255</x:v>
      </x:c>
      <x:c r="E40" s="19" t="n">
        <x:f>D40+0.5*$C$20*((B40-$C$7)*100)^2</x:f>
        <x:v>115.18617775893117</x:v>
      </x:c>
      <x:c r="F40" s="47" t="str">
        <x:f>TEXT(B40,"0%")</x:f>
        <x:v>2%</x:v>
      </x:c>
      <x:c r="G40" s="2"/>
      <x:c r="H40" s="2"/>
      <x:c r="I40" s="2"/>
    </x:row>
    <x:row r="41" ht="24" customHeight="1">
      <x:c r="A41" s="2"/>
      <x:c r="B41" s="28" t="n">
        <x:f>$C$7+(2-4)/100</x:f>
        <x:v>0.030000000000000002</x:v>
      </x:c>
      <x:c r="C41" s="19" t="n">
        <x:f>$C$14/(1+B41)+$C$15/(1+B41)^2+$C$16/(1+B41)^3+$C$17/(1+B41)^4</x:f>
        <x:v>111.1512952084311</x:v>
      </x:c>
      <x:c r="D41" s="19" t="n">
        <x:f>$C$8-$C$9*(B41-$C$7)*100</x:f>
        <x:v>110.80258984780248</x:v>
      </x:c>
      <x:c r="E41" s="19" t="n">
        <x:f>D41+0.5*$C$20*((B41-$C$7)*100)^2</x:f>
        <x:v>111.13826462082854</x:v>
      </x:c>
      <x:c r="F41" s="47" t="str">
        <x:f>TEXT(B41,"0%")</x:f>
        <x:v>3%</x:v>
      </x:c>
      <x:c r="G41" s="2"/>
      <x:c r="H41" s="2"/>
      <x:c r="I41" s="2"/>
    </x:row>
    <x:row r="42" ht="24" customHeight="1">
      <x:c r="A42" s="2"/>
      <x:c r="B42" s="28" t="n">
        <x:f>$C$7+(3-4)/100</x:f>
        <x:v>0.04</x:v>
      </x:c>
      <x:c r="C42" s="19" t="n">
        <x:f>$C$14/(1+B42)+$C$15/(1+B42)^2+$C$16/(1+B42)^3+$C$17/(1+B42)^4</x:f>
        <x:v>107.25979044851368</x:v>
      </x:c>
      <x:c r="D42" s="19" t="n">
        <x:f>$C$8-$C$9*(B42-$C$7)*100</x:f>
        <x:v>107.17427017598241</x:v>
      </x:c>
      <x:c r="E42" s="19" t="n">
        <x:f>D42+0.5*$C$20*((B42-$C$7)*100)^2</x:f>
        <x:v>107.25818886923892</x:v>
      </x:c>
      <x:c r="F42" s="47" t="str">
        <x:f>TEXT(B42,"0%")</x:f>
        <x:v>4%</x:v>
      </x:c>
      <x:c r="G42" s="2"/>
      <x:c r="H42" s="2"/>
      <x:c r="I42" s="2"/>
    </x:row>
    <x:row r="43" ht="24" customHeight="1">
      <x:c r="A43" s="2"/>
      <x:c r="B43" s="28" t="n">
        <x:f>$C$7+(4-4)/100</x:f>
        <x:v>0.05</x:v>
      </x:c>
      <x:c r="C43" s="19" t="n">
        <x:f>$C$14/(1+B43)+$C$15/(1+B43)^2+$C$16/(1+B43)^3+$C$17/(1+B43)^4</x:f>
        <x:v>103.54595050416235</x:v>
      </x:c>
      <x:c r="D43" s="19" t="n">
        <x:f>$C$8-$C$9*(B43-$C$7)*100</x:f>
        <x:v>103.54595050416235</x:v>
      </x:c>
      <x:c r="E43" s="19" t="n">
        <x:f>D43+0.5*$C$20*((B43-$C$7)*100)^2</x:f>
        <x:v>103.54595050416235</x:v>
      </x:c>
      <x:c r="F43" s="47" t="str">
        <x:f>TEXT(B43,"0%")</x:f>
        <x:v>5%</x:v>
      </x:c>
      <x:c r="G43" s="2"/>
      <x:c r="H43" s="2"/>
      <x:c r="I43" s="2"/>
    </x:row>
    <x:row r="44" ht="24" customHeight="1">
      <x:c r="A44" s="2"/>
      <x:c r="B44" s="28" t="n">
        <x:f>$C$7+(5-4)/100</x:f>
        <x:v>0.060000000000000005</x:v>
      </x:c>
      <x:c r="C44" s="19" t="n">
        <x:f>$C$14/(1+B44)+$C$15/(1+B44)^2+$C$16/(1+B44)^3+$C$17/(1+B44)^4</x:f>
        <x:v>99.99999999999999</x:v>
      </x:c>
      <x:c r="D44" s="19" t="n">
        <x:f>$C$8-$C$9*(B44-$C$7)*100</x:f>
        <x:v>99.91763083234228</x:v>
      </x:c>
      <x:c r="E44" s="19" t="n">
        <x:f>D44+0.5*$C$20*((B44-$C$7)*100)^2</x:f>
        <x:v>100.00154952559879</x:v>
      </x:c>
      <x:c r="F44" s="47" t="str">
        <x:f>TEXT(B44,"0%")</x:f>
        <x:v>6%</x:v>
      </x:c>
      <x:c r="G44" s="2"/>
      <x:c r="H44" s="2"/>
      <x:c r="I44" s="2"/>
    </x:row>
    <x:row r="45" ht="24" customHeight="1">
      <x:c r="A45" s="2"/>
      <x:c r="B45" s="28" t="n">
        <x:f>$C$7+(6-4)/100</x:f>
        <x:v>0.07</x:v>
      </x:c>
      <x:c r="C45" s="19" t="n">
        <x:f>$C$14/(1+B45)+$C$15/(1+B45)^2+$C$16/(1+B45)^3+$C$17/(1+B45)^4</x:f>
        <x:v>96.61278874353607</x:v>
      </x:c>
      <x:c r="D45" s="19" t="n">
        <x:f>$C$8-$C$9*(B45-$C$7)*100</x:f>
        <x:v>96.28931116052222</x:v>
      </x:c>
      <x:c r="E45" s="19" t="n">
        <x:f>D45+0.5*$C$20*((B45-$C$7)*100)^2</x:f>
        <x:v>96.62498593354827</x:v>
      </x:c>
      <x:c r="F45" s="47" t="str">
        <x:f>TEXT(B45,"0%")</x:f>
        <x:v>7%</x:v>
      </x:c>
      <x:c r="G45" s="2"/>
      <x:c r="H45" s="2"/>
      <x:c r="I45" s="2"/>
    </x:row>
    <x:row r="46" ht="24" customHeight="1">
      <x:c r="A46" s="2"/>
      <x:c r="B46" s="28" t="n">
        <x:f>$C$7+(7-4)/100</x:f>
        <x:v>0.08</x:v>
      </x:c>
      <x:c r="C46" s="19" t="n">
        <x:f>$C$14/(1+B46)+$C$15/(1+B46)^2+$C$16/(1+B46)^3+$C$17/(1+B46)^4</x:f>
        <x:v>93.37574631991133</x:v>
      </x:c>
      <x:c r="D46" s="19" t="n">
        <x:f>$C$8-$C$9*(B46-$C$7)*100</x:f>
        <x:v>92.66099148870215</x:v>
      </x:c>
      <x:c r="E46" s="19" t="n">
        <x:f>D46+0.5*$C$20*((B46-$C$7)*100)^2</x:f>
        <x:v>93.41625972801077</x:v>
      </x:c>
      <x:c r="F46" s="47" t="str">
        <x:f>TEXT(B46,"0%")</x:f>
        <x:v>8%</x:v>
      </x:c>
      <x:c r="G46" s="2"/>
      <x:c r="H46" s="2"/>
      <x:c r="I46" s="2"/>
    </x:row>
    <x:row r="47" ht="24" customHeight="1">
      <x:c r="A47" s="2"/>
      <x:c r="B47" s="28" t="n">
        <x:f>$C$7+(8-4)/100</x:f>
        <x:v>0.09</x:v>
      </x:c>
      <x:c r="C47" s="19" t="n">
        <x:f>$C$14/(1+B47)+$C$15/(1+B47)^2+$C$16/(1+B47)^3+$C$17/(1+B47)^4</x:f>
        <x:v>90.28084036883986</x:v>
      </x:c>
      <x:c r="D47" s="19" t="n">
        <x:f>$C$8-$C$9*(B47-$C$7)*100</x:f>
        <x:v>89.0326718168821</x:v>
      </x:c>
      <x:c r="E47" s="19" t="n">
        <x:f>D47+0.5*$C$20*((B47-$C$7)*100)^2</x:f>
        <x:v>90.37537090898631</x:v>
      </x:c>
      <x:c r="F47" s="47" t="str">
        <x:f>TEXT(B47,"0%")</x:f>
        <x:v>9%</x:v>
      </x:c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</x:row>
  </x:sheetData>
  <x:pageMargins left="0.7" right="0.7" top="0.75" bottom="0.75" header="0.3" footer="0.3"/>
  <x:drawing xmlns:r="http://schemas.openxmlformats.org/officeDocument/2006/relationships" r:id="Rb8a71d8eaa734a0d"/>
</x:worksheet>
</file>

<file path=xl/worksheets/sheet4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4.4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(a–b) Markedsværdi og nominel værdi giver forskellige vægte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2"/>
      <x:c r="B8" s="18" t="str">
        <x:v>Obligation</x:v>
      </x:c>
      <x:c r="C8" s="18" t="str">
        <x:v>Nominelt, kr.</x:v>
      </x:c>
      <x:c r="D8" s="18" t="str">
        <x:v>Kurs</x:v>
      </x:c>
      <x:c r="E8" s="18" t="str">
        <x:v>Markedsværdi, kr.</x:v>
      </x:c>
      <x:c r="F8" s="18" t="str">
        <x:v>Mod. varighed</x:v>
      </x:c>
      <x:c r="G8" s="18" t="str">
        <x:v>MV-vægt</x:v>
      </x:c>
      <x:c r="H8" s="18" t="str">
        <x:v>Kronevarighed</x:v>
      </x:c>
      <x:c r="I8" s="2"/>
    </x:row>
    <x:row r="9" ht="24" customHeight="1">
      <x:c r="A9" s="2"/>
      <x:c r="B9" s="2" t="str">
        <x:v>Obligation 1</x:v>
      </x:c>
      <x:c r="C9" s="38" t="n">
        <x:v>40000000</x:v>
      </x:c>
      <x:c r="D9" s="9" t="n">
        <x:v>80</x:v>
      </x:c>
      <x:c r="E9" s="51" t="n">
        <x:f>C9*D9/100</x:f>
        <x:v>32000000</x:v>
      </x:c>
      <x:c r="F9" s="53" t="n">
        <x:v>2</x:v>
      </x:c>
      <x:c r="G9" s="28" t="n">
        <x:f>E9/$E$11</x:f>
        <x:v>0.7272727272727273</x:v>
      </x:c>
      <x:c r="H9" s="19" t="n">
        <x:f>F9*D9/100</x:f>
        <x:v>1.6</x:v>
      </x:c>
      <x:c r="I9" s="2"/>
    </x:row>
    <x:row r="10" ht="24" customHeight="1">
      <x:c r="A10" s="2"/>
      <x:c r="B10" s="2" t="str">
        <x:v>Obligation 2</x:v>
      </x:c>
      <x:c r="C10" s="38" t="n">
        <x:v>10000000</x:v>
      </x:c>
      <x:c r="D10" s="9" t="n">
        <x:v>120</x:v>
      </x:c>
      <x:c r="E10" s="51" t="n">
        <x:f>C10*D10/100</x:f>
        <x:v>12000000</x:v>
      </x:c>
      <x:c r="F10" s="53" t="n">
        <x:v>7</x:v>
      </x:c>
      <x:c r="G10" s="28" t="n">
        <x:f>E10/$E$11</x:f>
        <x:v>0.2727272727272727</x:v>
      </x:c>
      <x:c r="H10" s="19" t="n">
        <x:f>F10*D10/100</x:f>
        <x:v>8.4</x:v>
      </x:c>
      <x:c r="I10" s="2"/>
    </x:row>
    <x:row r="11" ht="24" customHeight="1">
      <x:c r="A11" s="2"/>
      <x:c r="B11" s="26" t="str">
        <x:v>I alt</x:v>
      </x:c>
      <x:c r="C11" s="58" t="n">
        <x:f>SUM(C9:C10)</x:f>
        <x:v>50000000</x:v>
      </x:c>
      <x:c r="D11" s="26"/>
      <x:c r="E11" s="58" t="n">
        <x:f>SUM(E9:E10)</x:f>
        <x:v>44000000</x:v>
      </x:c>
      <x:c r="F11" s="26"/>
      <x:c r="G11" s="59" t="n">
        <x:f>SUM(G9:G10)</x:f>
        <x:v>1</x:v>
      </x:c>
      <x:c r="H11" s="2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(a) Korrekt modificeret varighed</x:v>
      </x:c>
      <x:c r="C14" s="30" t="n">
        <x:f>SUMPRODUCT(F9:F10,G9:G10)</x:f>
        <x:v>3.3636363636363633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 t="str">
        <x:v>Juniorens nominelle vægtning</x:v>
      </x:c>
      <x:c r="C15" s="19" t="n">
        <x:f>SUMPRODUCT(C9:C10,F9:F10)/C11</x:f>
        <x:v>3</x:v>
      </x:c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 t="str">
        <x:v>(b) Kronevarighed, kurspoint/pp</x:v>
      </x:c>
      <x:c r="C17" s="19" t="n">
        <x:f>SUMPRODUCT(C9:C10,H9:H10)/C11</x:f>
        <x:v>2.96</x:v>
      </x:c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13" t="str">
        <x:v>Modificeret varighed vægtes med markedsværdier: 32/44 og 12/44.</x:v>
      </x:c>
      <x:c r="C19" s="13"/>
      <x:c r="D19" s="13"/>
      <x:c r="E19" s="13"/>
      <x:c r="F19" s="13"/>
      <x:c r="G19" s="13"/>
      <x:c r="H19" s="13"/>
      <x:c r="I19" s="2"/>
    </x:row>
    <x:row r="20" ht="24" customHeight="1">
      <x:c r="A20" s="2"/>
      <x:c r="B20" s="13" t="str">
        <x:v>Kronevarighed pr. 100 nominel vægtes med nominelle beløb: 40/50 og 10/50.</x:v>
      </x:c>
      <x:c r="C20" s="13"/>
      <x:c r="D20" s="13"/>
      <x:c r="E20" s="13"/>
      <x:c r="F20" s="13"/>
      <x:c r="G20" s="13"/>
      <x:c r="H20" s="13"/>
      <x:c r="I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4" customHeight="1">
      <x:c r="A22" s="2"/>
      <x:c r="B22" s="6" t="str">
        <x:v>(c) To veje til samme kronetab</x:v>
      </x:c>
      <x:c r="C22" s="6"/>
      <x:c r="D22" s="6"/>
      <x:c r="E22" s="6"/>
      <x:c r="F22" s="6"/>
      <x:c r="G22" s="6"/>
      <x:c r="H22" s="6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 t="str">
        <x:v>Rentestigning, procentpoint</x:v>
      </x:c>
      <x:c r="C24" s="9" t="n">
        <x:v>1</x:v>
      </x:c>
      <x:c r="D24" s="2"/>
      <x:c r="E24" s="2"/>
      <x:c r="F24" s="2"/>
      <x:c r="G24" s="2"/>
      <x:c r="H24" s="2"/>
      <x:c r="I24" s="2"/>
    </x:row>
    <x:row r="25" ht="24" customHeight="1">
      <x:c r="A25" s="2"/>
      <x:c r="B25" s="2" t="str">
        <x:v>Tab via modificeret varighed</x:v>
      </x:c>
      <x:c r="C25" s="40" t="n">
        <x:f>E11*C14*C24/100</x:f>
        <x:v>1480000</x:v>
      </x:c>
      <x:c r="D25" s="2"/>
      <x:c r="E25" s="2"/>
      <x:c r="F25" s="2"/>
      <x:c r="G25" s="2"/>
      <x:c r="H25" s="2"/>
      <x:c r="I25" s="2"/>
    </x:row>
    <x:row r="26" ht="24" customHeight="1">
      <x:c r="A26" s="2"/>
      <x:c r="B26" s="2" t="str">
        <x:v>Tab via kronevarighed</x:v>
      </x:c>
      <x:c r="C26" s="40" t="n">
        <x:f>C11/100*C17*C24</x:f>
        <x:v>1480000</x:v>
      </x:c>
      <x:c r="D26" s="2"/>
      <x:c r="E26" s="2"/>
      <x:c r="F26" s="2"/>
      <x:c r="G26" s="2"/>
      <x:c r="H26" s="2"/>
      <x:c r="I26" s="2"/>
    </x:row>
    <x:row r="27" ht="24" customHeight="1">
      <x:c r="A27" s="2"/>
      <x:c r="B27" s="2" t="str">
        <x:v>Forskel, kr.</x:v>
      </x:c>
      <x:c r="C27" s="19" t="n">
        <x:f>C25-C26</x:f>
        <x:v>0</x:v>
      </x:c>
      <x:c r="D27" s="2"/>
      <x:c r="E27" s="2"/>
      <x:c r="F27" s="2"/>
      <x:c r="G27" s="2"/>
      <x:c r="H27" s="2"/>
      <x:c r="I27" s="2"/>
    </x:row>
    <x:row r="28" ht="24" customHeight="1">
      <x:c r="A28" s="2"/>
      <x:c r="B28" s="2" t="str">
        <x:v>Porteføljens BPV, kr./bp</x:v>
      </x:c>
      <x:c r="C28" s="40" t="n">
        <x:f>C11/100*C17/100</x:f>
        <x:v>14800</x:v>
      </x:c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6" t="str">
        <x:v>(d) Nøgletallene hænger sammen</x:v>
      </x:c>
      <x:c r="C30" s="6"/>
      <x:c r="D30" s="6"/>
      <x:c r="E30" s="6"/>
      <x:c r="F30" s="6"/>
      <x:c r="G30" s="6"/>
      <x:c r="H30" s="6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 t="str">
        <x:v>Porteføljekurs pr. 100 nominel</x:v>
      </x:c>
      <x:c r="C32" s="19" t="n">
        <x:f>E11/C11*100</x:f>
        <x:v>88</x:v>
      </x:c>
      <x:c r="D32" s="2"/>
      <x:c r="E32" s="2"/>
      <x:c r="F32" s="2"/>
      <x:c r="G32" s="2"/>
      <x:c r="H32" s="2"/>
      <x:c r="I32" s="2"/>
    </x:row>
    <x:row r="33" ht="24" customHeight="1">
      <x:c r="A33" s="2"/>
      <x:c r="B33" s="2" t="str">
        <x:v>MD × porteføljekurs / 100</x:v>
      </x:c>
      <x:c r="C33" s="19" t="n">
        <x:f>C14*C32/100</x:f>
        <x:v>2.96</x:v>
      </x:c>
      <x:c r="D33" s="2"/>
      <x:c r="E33" s="2"/>
      <x:c r="F33" s="2"/>
      <x:c r="G33" s="2"/>
      <x:c r="H33" s="2"/>
      <x:c r="I33" s="2"/>
    </x:row>
    <x:row r="34" ht="24" customHeight="1">
      <x:c r="A34" s="2"/>
      <x:c r="B34" s="2" t="str">
        <x:v>Juniorens estimerede tab, kr.</x:v>
      </x:c>
      <x:c r="C34" s="40" t="n">
        <x:f>E11*C15*C24/100</x:f>
        <x:v>1320000</x:v>
      </x:c>
      <x:c r="D34" s="2"/>
      <x:c r="E34" s="2"/>
      <x:c r="F34" s="2"/>
      <x:c r="G34" s="2"/>
      <x:c r="H34" s="2"/>
      <x:c r="I34" s="2"/>
    </x:row>
    <x:row r="35" ht="24" customHeight="1">
      <x:c r="A35" s="2"/>
      <x:c r="B35" s="2" t="str">
        <x:v>Undervurderet tab, kr.</x:v>
      </x:c>
      <x:c r="C35" s="40" t="n">
        <x:f>C25-C34</x:f>
        <x:v>160000</x:v>
      </x:c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13" t="str">
        <x:v>Obligation 2 har høj varighed og kurs 120. Den fylder mere i markedsværdi end i nominelt beløb.</x:v>
      </x:c>
      <x:c r="C37" s="13"/>
      <x:c r="D37" s="13"/>
      <x:c r="E37" s="13"/>
      <x:c r="F37" s="13"/>
      <x:c r="G37" s="13"/>
      <x:c r="H37" s="13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4" customHeight="1">
      <x:c r="A39" s="2"/>
      <x:c r="B39" s="18" t="str">
        <x:v>Obligation</x:v>
      </x:c>
      <x:c r="C39" s="18" t="str">
        <x:v>Nominel vægt</x:v>
      </x:c>
      <x:c r="D39" s="18" t="str">
        <x:v>Markedsværdivægt</x:v>
      </x:c>
      <x:c r="E39" s="2"/>
      <x:c r="F39" s="2"/>
      <x:c r="G39" s="2"/>
      <x:c r="H39" s="2"/>
      <x:c r="I39" s="2"/>
    </x:row>
    <x:row r="40" ht="24" customHeight="1">
      <x:c r="A40" s="2"/>
      <x:c r="B40" s="2" t="str">
        <x:v>Obligation 1</x:v>
      </x:c>
      <x:c r="C40" s="28" t="n">
        <x:f>C9/$C$11</x:f>
        <x:v>0.8</x:v>
      </x:c>
      <x:c r="D40" s="28" t="n">
        <x:f>G9</x:f>
        <x:v>0.7272727272727273</x:v>
      </x:c>
      <x:c r="E40" s="2"/>
      <x:c r="F40" s="2"/>
      <x:c r="G40" s="2"/>
      <x:c r="H40" s="2"/>
      <x:c r="I40" s="2"/>
    </x:row>
    <x:row r="41" ht="24" customHeight="1">
      <x:c r="A41" s="2"/>
      <x:c r="B41" s="2" t="str">
        <x:v>Obligation 2</x:v>
      </x:c>
      <x:c r="C41" s="28" t="n">
        <x:f>C10/$C$11</x:f>
        <x:v>0.2</x:v>
      </x:c>
      <x:c r="D41" s="28" t="n">
        <x:f>G10</x:f>
        <x:v>0.2727272727272727</x:v>
      </x:c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13" t="str">
        <x:v>Nominelle vægte: 80 % og 20 %. Markedsværdivægte: ca. 72,73 % og 27,27 %.</x:v>
      </x:c>
      <x:c r="C43" s="13"/>
      <x:c r="D43" s="13"/>
      <x:c r="E43" s="13"/>
      <x:c r="F43" s="13"/>
      <x:c r="G43" s="13"/>
      <x:c r="H43" s="13"/>
      <x:c r="I43" s="2"/>
    </x:row>
    <x:row r="44" ht="24" customHeight="1">
      <x:c r="A44" s="2"/>
      <x:c r="B44" s="13" t="str">
        <x:v>Junioren giver den mest rentefølsomme obligation for lille vægt og undervurderer derfor risikoen.</x:v>
      </x:c>
      <x:c r="C44" s="13"/>
      <x:c r="D44" s="13"/>
      <x:c r="E44" s="13"/>
      <x:c r="F44" s="13"/>
      <x:c r="G44" s="13"/>
      <x:c r="H44" s="13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13" t="str">
        <x:v>Begge tab er varighedsestimater. Der er ikke oplyst betalinger til at beregne den faktiske nye kurs.</x:v>
      </x:c>
      <x:c r="C46" s="13"/>
      <x:c r="D46" s="13"/>
      <x:c r="E46" s="13"/>
      <x:c r="F46" s="13"/>
      <x:c r="G46" s="13"/>
      <x:c r="H46" s="13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4.5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Forpligtelsen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Betaling om 7 år, kr.</x:v>
      </x:c>
      <x:c r="C8" s="38" t="n">
        <x:v>10000000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Horisont, år</x:v>
      </x:c>
      <x:c r="C9" s="33" t="n">
        <x:v>7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 t="str">
        <x:v>Effektiv årlig rente</x:v>
      </x:c>
      <x:c r="C10" s="12" t="n">
        <x:v>0.03</x:v>
      </x:c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2" t="str">
        <x:v>Beløb, der skal afsættes i dag</x:v>
      </x:c>
      <x:c r="C12" s="40" t="n">
        <x:f>C8/(1+C10)^C9</x:f>
        <x:v>8130915.113433536</x:v>
      </x:c>
      <x:c r="D12" s="2"/>
      <x:c r="E12" s="2"/>
      <x:c r="F12" s="2"/>
      <x:c r="G12" s="2"/>
      <x:c r="H12" s="2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6" t="str">
        <x:v>(a) Vælg Y: match både nutidsværdi og varighed</x:v>
      </x:c>
      <x:c r="C14" s="6"/>
      <x:c r="D14" s="6"/>
      <x:c r="E14" s="6"/>
      <x:c r="F14" s="6"/>
      <x:c r="G14" s="6"/>
      <x:c r="H14" s="6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34" customHeight="1">
      <x:c r="A16" s="2"/>
      <x:c r="B16" s="18" t="str">
        <x:v>Obligation</x:v>
      </x:c>
      <x:c r="C16" s="18" t="str">
        <x:v>Macaulay, år</x:v>
      </x:c>
      <x:c r="D16" s="18" t="str">
        <x:v>Horisont minus D</x:v>
      </x:c>
      <x:c r="E16" s="18" t="str">
        <x:v>Valg ved opgavens input</x:v>
      </x:c>
      <x:c r="F16" s="2"/>
      <x:c r="G16" s="2"/>
      <x:c r="H16" s="2"/>
      <x:c r="I16" s="2"/>
    </x:row>
    <x:row r="17" ht="24" customHeight="1">
      <x:c r="A17" s="2"/>
      <x:c r="B17" s="2" t="str">
        <x:v>X</x:v>
      </x:c>
      <x:c r="C17" s="33" t="n">
        <x:v>4</x:v>
      </x:c>
      <x:c r="D17" s="60" t="n">
        <x:f>$C$9-C17</x:f>
        <x:v>3</x:v>
      </x:c>
      <x:c r="E17" s="47" t="str">
        <x:f>IF(D17=0,"Matcher",IF(D17&gt;0,"For kort","For lang"))</x:f>
        <x:v>For kort</x:v>
      </x:c>
      <x:c r="F17" s="2"/>
      <x:c r="G17" s="2"/>
      <x:c r="H17" s="2"/>
      <x:c r="I17" s="2"/>
    </x:row>
    <x:row r="18" ht="24" customHeight="1">
      <x:c r="A18" s="2"/>
      <x:c r="B18" s="2" t="str">
        <x:v>Y</x:v>
      </x:c>
      <x:c r="C18" s="33" t="n">
        <x:v>7</x:v>
      </x:c>
      <x:c r="D18" s="60" t="n">
        <x:f>$C$9-C18</x:f>
        <x:v>0</x:v>
      </x:c>
      <x:c r="E18" s="47" t="str">
        <x:f>IF(D18=0,"Matcher",IF(D18&gt;0,"For kort","For lang"))</x:f>
        <x:v>Matcher</x:v>
      </x:c>
      <x:c r="F18" s="2"/>
      <x:c r="G18" s="2"/>
      <x:c r="H18" s="2"/>
      <x:c r="I18" s="2"/>
    </x:row>
    <x:row r="19" ht="24" customHeight="1">
      <x:c r="A19" s="2"/>
      <x:c r="B19" s="2" t="str">
        <x:v>Z</x:v>
      </x:c>
      <x:c r="C19" s="33" t="n">
        <x:v>10</x:v>
      </x:c>
      <x:c r="D19" s="60" t="n">
        <x:f>$C$9-C19</x:f>
        <x:v>-3</x:v>
      </x:c>
      <x:c r="E19" s="47" t="str">
        <x:f>IF(D19=0,"Matcher",IF(D19&gt;0,"For kort","For lang"))</x:f>
        <x:v>For lang</x:v>
      </x:c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13" t="str">
        <x:v>Forpligtelsen er én betaling om 7 år: dens Macaulay-varighed er 7 år. Y har samme varighed.</x:v>
      </x:c>
      <x:c r="C21" s="13"/>
      <x:c r="D21" s="13"/>
      <x:c r="E21" s="13"/>
      <x:c r="F21" s="13"/>
      <x:c r="G21" s="13"/>
      <x:c r="H21" s="13"/>
      <x:c r="I21" s="2"/>
    </x:row>
    <x:row r="22" ht="24" customHeight="1">
      <x:c r="A22" s="2"/>
      <x:c r="B22" s="13" t="str">
        <x:v>Invester forpligtelsens nutidsværdi i Y. Dermed matches værdi og førsteordensfølsomhed i dag.</x:v>
      </x:c>
      <x:c r="C22" s="13"/>
      <x:c r="D22" s="13"/>
      <x:c r="E22" s="13"/>
      <x:c r="F22" s="13"/>
      <x:c r="G22" s="13"/>
      <x:c r="H22" s="13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6" t="str">
        <x:v>(b) Hvad går galt med X og Z?</x:v>
      </x:c>
      <x:c r="C24" s="6"/>
      <x:c r="D24" s="6"/>
      <x:c r="E24" s="6"/>
      <x:c r="F24" s="6"/>
      <x:c r="G24" s="6"/>
      <x:c r="H24" s="6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13" t="str">
        <x:v>X ved rentefald: tidlige betalinger skal genplaceres til lavere renter frem mod år 7.</x:v>
      </x:c>
      <x:c r="C26" s="13"/>
      <x:c r="D26" s="13"/>
      <x:c r="E26" s="13"/>
      <x:c r="F26" s="13"/>
      <x:c r="G26" s="13"/>
      <x:c r="H26" s="13"/>
      <x:c r="I26" s="2"/>
    </x:row>
    <x:row r="27" ht="24" customHeight="1">
      <x:c r="A27" s="2"/>
      <x:c r="B27" s="13" t="str">
        <x:v>Kursgevinsten opvejer ikke hele tabet af genplaceringsafkast. Slutværdien falder i første orden.</x:v>
      </x:c>
      <x:c r="C27" s="13"/>
      <x:c r="D27" s="13"/>
      <x:c r="E27" s="13"/>
      <x:c r="F27" s="13"/>
      <x:c r="G27" s="13"/>
      <x:c r="H27" s="13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13" t="str">
        <x:v>Z ved rentestigning: kursfaldet dominerer gevinsten fra højere genplaceringsrente frem mod år 7.</x:v>
      </x:c>
      <x:c r="C29" s="13"/>
      <x:c r="D29" s="13"/>
      <x:c r="E29" s="13"/>
      <x:c r="F29" s="13"/>
      <x:c r="G29" s="13"/>
      <x:c r="H29" s="13"/>
      <x:c r="I29" s="2"/>
    </x:row>
    <x:row r="30" ht="24" customHeight="1">
      <x:c r="A30" s="2"/>
      <x:c r="B30" s="13" t="str">
        <x:v>Betalinger efter år 7 indgår i salgsværdien på horisonten. Den værdi falder, når renten stiger.</x:v>
      </x:c>
      <x:c r="C30" s="13"/>
      <x:c r="D30" s="13"/>
      <x:c r="E30" s="13"/>
      <x:c r="F30" s="13"/>
      <x:c r="G30" s="13"/>
      <x:c r="H30" s="13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6" t="str">
        <x:v>(c) Horisonten gennem betalingernes tyngdepunkt</x:v>
      </x:c>
      <x:c r="C32" s="6"/>
      <x:c r="D32" s="6"/>
      <x:c r="E32" s="6"/>
      <x:c r="F32" s="6"/>
      <x:c r="G32" s="6"/>
      <x:c r="H32" s="6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13" t="str">
        <x:v>Tidlige betalinger genplaceres frem til horisonten; senere betalinger indgår via salgsværdien dér.</x:v>
      </x:c>
      <x:c r="C34" s="13"/>
      <x:c r="D34" s="13"/>
      <x:c r="E34" s="13"/>
      <x:c r="F34" s="13"/>
      <x:c r="G34" s="13"/>
      <x:c r="H34" s="13"/>
      <x:c r="I34" s="2"/>
    </x:row>
    <x:row r="35" ht="24" customHeight="1">
      <x:c r="A35" s="2"/>
      <x:c r="B35" s="13" t="str">
        <x:v>Ved H = D balancerer de to rentevirkninger for et lille, varigt parallelt renteskift.</x:v>
      </x:c>
      <x:c r="C35" s="13"/>
      <x:c r="D35" s="13"/>
      <x:c r="E35" s="13"/>
      <x:c r="F35" s="13"/>
      <x:c r="G35" s="13"/>
      <x:c r="H35" s="13"/>
      <x:c r="I35" s="2"/>
    </x:row>
    <x:row r="36" ht="24" customHeight="1">
      <x:c r="A36" s="2"/>
      <x:c r="B36" s="13" t="str">
        <x:v>Y har derfor ingen førsteordensændring i slutværdien. Det er ikke en garanti mod alle rentebevægelser.</x:v>
      </x:c>
      <x:c r="C36" s="13"/>
      <x:c r="D36" s="13"/>
      <x:c r="E36" s="13"/>
      <x:c r="F36" s="13"/>
      <x:c r="G36" s="13"/>
      <x:c r="H36" s="13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6" t="str">
        <x:v>(d) To grunde til løbende justering</x:v>
      </x:c>
      <x:c r="C38" s="6"/>
      <x:c r="D38" s="6"/>
      <x:c r="E38" s="6"/>
      <x:c r="F38" s="6"/>
      <x:c r="G38" s="6"/>
      <x:c r="H38" s="6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13" t="str">
        <x:v>1. Tiden går og kuponer betales. Obligationens varighed falder ikke nødvendigvis i takt med horisonten.</x:v>
      </x:c>
      <x:c r="C40" s="13"/>
      <x:c r="D40" s="13"/>
      <x:c r="E40" s="13"/>
      <x:c r="F40" s="13"/>
      <x:c r="G40" s="13"/>
      <x:c r="H40" s="13"/>
      <x:c r="I40" s="2"/>
    </x:row>
    <x:row r="41" ht="24" customHeight="1">
      <x:c r="A41" s="2"/>
      <x:c r="B41" s="13" t="str">
        <x:v>2. Renter ændrer nutidsværdierne og dermed varigheden. Værdi- og varighedsmatch skal kontrolleres igen.</x:v>
      </x:c>
      <x:c r="C41" s="13"/>
      <x:c r="D41" s="13"/>
      <x:c r="E41" s="13"/>
      <x:c r="F41" s="13"/>
      <x:c r="G41" s="13"/>
      <x:c r="H41" s="13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13" t="str">
        <x:v>Forudsætning: små parallelle renteskift i den enkle model med fast betalingsrække og fælles rente.</x:v>
      </x:c>
      <x:c r="C43" s="13"/>
      <x:c r="D43" s="13"/>
      <x:c r="E43" s="13"/>
      <x:c r="F43" s="13"/>
      <x:c r="G43" s="13"/>
      <x:c r="H43" s="13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13" t="str">
        <x:v>Genplaceringsrisiko handler om fremtidigt afkast på modtagne betalinger, ikke om ændringer i de faste kuponer.</x:v>
      </x:c>
      <x:c r="C45" s="13"/>
      <x:c r="D45" s="13"/>
      <x:c r="E45" s="13"/>
      <x:c r="F45" s="13"/>
      <x:c r="G45" s="13"/>
      <x:c r="H45" s="13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13" t="str">
        <x:v>Kuponer og løbetider for X, Y og Z er ikke oplyst. Der kan derfor ikke beregnes eksakte slutværdier.</x:v>
      </x:c>
      <x:c r="C47" s="13"/>
      <x:c r="D47" s="13"/>
      <x:c r="E47" s="13"/>
      <x:c r="F47" s="13"/>
      <x:c r="G47" s="13"/>
      <x:c r="H47" s="13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4.6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0.05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Lokalt / parallelt stød, pp</x:v>
      </x:c>
      <x:c r="C9" s="9" t="n">
        <x:v>1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6" t="str">
        <x:v>(a) Hver betaling har sin egen spotrente</x:v>
      </x:c>
      <x:c r="C11" s="6"/>
      <x:c r="D11" s="6"/>
      <x:c r="E11" s="6"/>
      <x:c r="F11" s="6"/>
      <x:c r="G11" s="6"/>
      <x:c r="H11" s="6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4" customHeight="1">
      <x:c r="A13" s="2"/>
      <x:c r="B13" s="18" t="str">
        <x:v>År</x:v>
      </x:c>
      <x:c r="C13" s="18" t="str">
        <x:v>Spotrente</x:v>
      </x:c>
      <x:c r="D13" s="18" t="str">
        <x:v>Betaling</x:v>
      </x:c>
      <x:c r="E13" s="18" t="str">
        <x:v>Nutidsværdi</x:v>
      </x:c>
      <x:c r="F13" s="18" t="str">
        <x:v>PV-vægt</x:v>
      </x:c>
      <x:c r="G13" s="18" t="str">
        <x:v>Vægt × år</x:v>
      </x:c>
      <x:c r="H13" s="2"/>
      <x:c r="I13" s="2"/>
    </x:row>
    <x:row r="14" ht="24" customHeight="1">
      <x:c r="A14" s="2"/>
      <x:c r="B14" s="2" t="n">
        <x:v>1</x:v>
      </x:c>
      <x:c r="C14" s="12" t="n">
        <x:v>0.01</x:v>
      </x:c>
      <x:c r="D14" s="19" t="n">
        <x:f>$C$7*$C$8+IF(B14=3,$C$7,0)</x:f>
        <x:v>5</x:v>
      </x:c>
      <x:c r="E14" s="30" t="n">
        <x:f>D14/(1+C14)^B14</x:f>
        <x:v>4.9504950495049505</x:v>
      </x:c>
      <x:c r="F14" s="28" t="n">
        <x:f>E14/$E$17</x:f>
        <x:v>0.04677063921713021</x:v>
      </x:c>
      <x:c r="G14" s="30" t="n">
        <x:f>F14*B14</x:f>
        <x:v>0.04677063921713021</x:v>
      </x:c>
      <x:c r="H14" s="2"/>
      <x:c r="I14" s="2"/>
    </x:row>
    <x:row r="15" ht="24" customHeight="1">
      <x:c r="A15" s="2"/>
      <x:c r="B15" s="2" t="n">
        <x:v>2</x:v>
      </x:c>
      <x:c r="C15" s="12" t="n">
        <x:v>0.02</x:v>
      </x:c>
      <x:c r="D15" s="19" t="n">
        <x:f>$C$7*$C$8+IF(B15=3,$C$7,0)</x:f>
        <x:v>5</x:v>
      </x:c>
      <x:c r="E15" s="30" t="n">
        <x:f>D15/(1+C15)^B15</x:f>
        <x:v>4.805843906189927</x:v>
      </x:c>
      <x:c r="F15" s="28" t="n">
        <x:f>E15/$E$17</x:f>
        <x:v>0.045404023076991075</x:v>
      </x:c>
      <x:c r="G15" s="30" t="n">
        <x:f>F15*B15</x:f>
        <x:v>0.09080804615398215</x:v>
      </x:c>
      <x:c r="H15" s="2"/>
      <x:c r="I15" s="2"/>
    </x:row>
    <x:row r="16" ht="24" customHeight="1">
      <x:c r="A16" s="2"/>
      <x:c r="B16" s="2" t="n">
        <x:v>3</x:v>
      </x:c>
      <x:c r="C16" s="12" t="n">
        <x:v>0.03</x:v>
      </x:c>
      <x:c r="D16" s="19" t="n">
        <x:f>$C$7*$C$8+IF(B16=3,$C$7,0)</x:f>
        <x:v>105</x:v>
      </x:c>
      <x:c r="E16" s="30" t="n">
        <x:f>D16/(1+C16)^B16</x:f>
        <x:v>96.08987423208175</x:v>
      </x:c>
      <x:c r="F16" s="28" t="n">
        <x:f>E16/$E$17</x:f>
        <x:v>0.9078253377058788</x:v>
      </x:c>
      <x:c r="G16" s="30" t="n">
        <x:f>F16*B16</x:f>
        <x:v>2.7234760131176365</x:v>
      </x:c>
      <x:c r="H16" s="2"/>
      <x:c r="I16" s="2"/>
    </x:row>
    <x:row r="17" ht="24" customHeight="1">
      <x:c r="A17" s="2"/>
      <x:c r="B17" s="26" t="str">
        <x:v>Kurs / Fisher–Weil, år</x:v>
      </x:c>
      <x:c r="C17" s="26"/>
      <x:c r="D17" s="26"/>
      <x:c r="E17" s="63" t="n">
        <x:f>SUM(E14:E16)</x:f>
        <x:v>105.84621318777663</x:v>
      </x:c>
      <x:c r="F17" s="26"/>
      <x:c r="G17" s="63" t="n">
        <x:f>SUM(G14:G16)</x:f>
        <x:v>2.861054698488749</x:v>
      </x:c>
      <x:c r="H17" s="2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13" t="str">
        <x:v>Fisher–Weil er her den PV-vægtede tid på spotkurven, som defineret i kapitlet.</x:v>
      </x:c>
      <x:c r="C19" s="13"/>
      <x:c r="D19" s="13"/>
      <x:c r="E19" s="13"/>
      <x:c r="F19" s="13"/>
      <x:c r="G19" s="13"/>
      <x:c r="H19" s="13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6" t="str">
        <x:v>(b) Én spotrente kan ikke erstatte hele kurven</x:v>
      </x:c>
      <x:c r="C21" s="6"/>
      <x:c r="D21" s="6"/>
      <x:c r="E21" s="6"/>
      <x:c r="F21" s="6"/>
      <x:c r="G21" s="6"/>
      <x:c r="H21" s="6"/>
      <x:c r="I21" s="2"/>
    </x:row>
    <x:row r="22" ht="24" customHeight="1">
      <x:c r="A22" s="2"/>
      <x:c r="B22" s="13" t="str">
        <x:v>1 %, 2 % og 3 % priser hver sin betalingsdato. Bruges én af dem til alt, ændres kursen og vægtene.</x:v>
      </x:c>
      <x:c r="C22" s="13"/>
      <x:c r="D22" s="13"/>
      <x:c r="E22" s="13"/>
      <x:c r="F22" s="13"/>
      <x:c r="G22" s="13"/>
      <x:c r="H22" s="13"/>
      <x:c r="I22" s="2"/>
    </x:row>
    <x:row r="23" ht="24" customHeight="1">
      <x:c r="A23" s="2"/>
      <x:c r="B23" s="13" t="str">
        <x:v>En effektiv rente kan findes, så samme kurs opnås, men den er ikke vilkårligt én af spotrenterne.</x:v>
      </x:c>
      <x:c r="C23" s="13"/>
      <x:c r="D23" s="13"/>
      <x:c r="E23" s="13"/>
      <x:c r="F23" s="13"/>
      <x:c r="G23" s="13"/>
      <x:c r="H23" s="13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6" t="str">
        <x:v>(c) Genberegn den ramte betaling; de øvrige er uændrede</x:v>
      </x:c>
      <x:c r="C25" s="6"/>
      <x:c r="D25" s="6"/>
      <x:c r="E25" s="6"/>
      <x:c r="F25" s="6"/>
      <x:c r="G25" s="6"/>
      <x:c r="H25" s="6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4" customHeight="1">
      <x:c r="A27" s="2"/>
      <x:c r="B27" s="18" t="str">
        <x:v>Stød rammer år</x:v>
      </x:c>
      <x:c r="C27" s="18" t="str">
        <x:v>Ny spotrente</x:v>
      </x:c>
      <x:c r="D27" s="18" t="str">
        <x:v>Gammel PV</x:v>
      </x:c>
      <x:c r="E27" s="18" t="str">
        <x:v>Ny PV</x:v>
      </x:c>
      <x:c r="F27" s="18" t="str">
        <x:v>Kursfald</x:v>
      </x:c>
      <x:c r="G27" s="18" t="str">
        <x:v>Ny samlet kurs</x:v>
      </x:c>
      <x:c r="H27" s="18" t="str">
        <x:v>Andel af fald</x:v>
      </x:c>
      <x:c r="I27" s="2"/>
    </x:row>
    <x:row r="28" ht="24" customHeight="1">
      <x:c r="A28" s="2"/>
      <x:c r="B28" s="60" t="n">
        <x:f>B14</x:f>
        <x:v>1</x:v>
      </x:c>
      <x:c r="C28" s="28" t="n">
        <x:f>C14+$C$9/100</x:f>
        <x:v>0.02</x:v>
      </x:c>
      <x:c r="D28" s="19" t="n">
        <x:f>E14</x:f>
        <x:v>4.9504950495049505</x:v>
      </x:c>
      <x:c r="E28" s="19" t="n">
        <x:f>D14/(1+C28)^B28</x:f>
        <x:v>4.901960784313726</x:v>
      </x:c>
      <x:c r="F28" s="19" t="n">
        <x:f>D28-E28</x:f>
        <x:v>0.04853426519122461</x:v>
      </x:c>
      <x:c r="G28" s="19" t="n">
        <x:f>$E$17-F28</x:f>
        <x:v>105.7976789225854</x:v>
      </x:c>
      <x:c r="H28" s="28" t="n">
        <x:f>IF(SUM($F$28:$F$30)=0,0,F28/SUM($F$28:$F$30))</x:f>
        <x:v>0.016813322642694677</x:v>
      </x:c>
      <x:c r="I28" s="2"/>
    </x:row>
    <x:row r="29" ht="24" customHeight="1">
      <x:c r="A29" s="2"/>
      <x:c r="B29" s="60" t="n">
        <x:f>B15</x:f>
        <x:v>2</x:v>
      </x:c>
      <x:c r="C29" s="28" t="n">
        <x:f>C15+$C$9/100</x:f>
        <x:v>0.03</x:v>
      </x:c>
      <x:c r="D29" s="19" t="n">
        <x:f>E15</x:f>
        <x:v>4.805843906189927</x:v>
      </x:c>
      <x:c r="E29" s="19" t="n">
        <x:f>D15/(1+C29)^B29</x:f>
        <x:v>4.712979545668772</x:v>
      </x:c>
      <x:c r="F29" s="19" t="n">
        <x:f>D29-E29</x:f>
        <x:v>0.09286436052115477</x:v>
      </x:c>
      <x:c r="G29" s="19" t="n">
        <x:f>$E$17-F29</x:f>
        <x:v>105.75334882725548</x:v>
      </x:c>
      <x:c r="H29" s="28" t="n">
        <x:f>IF(SUM($F$28:$F$30)=0,0,F29/SUM($F$28:$F$30))</x:f>
        <x:v>0.03217022961608573</x:v>
      </x:c>
      <x:c r="I29" s="2"/>
    </x:row>
    <x:row r="30" ht="24" customHeight="1">
      <x:c r="A30" s="2"/>
      <x:c r="B30" s="60" t="n">
        <x:f>B16</x:f>
        <x:v>3</x:v>
      </x:c>
      <x:c r="C30" s="28" t="n">
        <x:f>C16+$C$9/100</x:f>
        <x:v>0.04</x:v>
      </x:c>
      <x:c r="D30" s="19" t="n">
        <x:f>E16</x:f>
        <x:v>96.08987423208175</x:v>
      </x:c>
      <x:c r="E30" s="19" t="n">
        <x:f>D16/(1+C30)^B30</x:f>
        <x:v>93.34461766044606</x:v>
      </x:c>
      <x:c r="F30" s="19" t="n">
        <x:f>D30-E30</x:f>
        <x:v>2.745256571635693</x:v>
      </x:c>
      <x:c r="G30" s="19" t="n">
        <x:f>$E$17-F30</x:f>
        <x:v>103.10095661614093</x:v>
      </x:c>
      <x:c r="H30" s="28" t="n">
        <x:f>IF(SUM($F$28:$F$30)=0,0,F30/SUM($F$28:$F$30))</x:f>
        <x:v>0.9510164477412196</x:v>
      </x:c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 t="str">
        <x:v>(d) Sum af lokale kursfald</x:v>
      </x:c>
      <x:c r="C32" s="19" t="n">
        <x:f>SUM(F28:F30)</x:f>
        <x:v>2.8866551973480723</x:v>
      </x:c>
      <x:c r="D32" s="2"/>
      <x:c r="E32" s="2"/>
      <x:c r="F32" s="2"/>
      <x:c r="G32" s="2"/>
      <x:c r="H32" s="2"/>
      <x:c r="I32" s="2"/>
    </x:row>
    <x:row r="33" ht="24" customHeight="1">
      <x:c r="A33" s="2"/>
      <x:c r="B33" s="2" t="str">
        <x:v>Kurs efter parallelt skift</x:v>
      </x:c>
      <x:c r="C33" s="19" t="n">
        <x:f>SUM(E28:E30)</x:f>
        <x:v>102.95955799042856</x:v>
      </x:c>
      <x:c r="D33" s="2"/>
      <x:c r="E33" s="2"/>
      <x:c r="F33" s="2"/>
      <x:c r="G33" s="2"/>
      <x:c r="H33" s="2"/>
      <x:c r="I33" s="2"/>
    </x:row>
    <x:row r="34" ht="24" customHeight="1">
      <x:c r="A34" s="2"/>
      <x:c r="B34" s="2" t="str">
        <x:v>Kursfald ved parallelt skift</x:v>
      </x:c>
      <x:c r="C34" s="19" t="n">
        <x:f>E17-C33</x:f>
        <x:v>2.8866551973480625</x:v>
      </x:c>
      <x:c r="D34" s="2"/>
      <x:c r="E34" s="2"/>
      <x:c r="F34" s="2"/>
      <x:c r="G34" s="2"/>
      <x:c r="H34" s="2"/>
      <x:c r="I34" s="2"/>
    </x:row>
    <x:row r="35" ht="24" customHeight="1">
      <x:c r="A35" s="2"/>
      <x:c r="B35" s="2" t="str">
        <x:v>Forskel, kurspoint</x:v>
      </x:c>
      <x:c r="C35" s="30" t="n">
        <x:f>C32-C34</x:f>
        <x:v>9.769962616701378e-15</x:v>
      </x:c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13" t="str">
        <x:v>Her rammer hvert lokalt stød præcis én separat betaling. Derfor gælder ligheden eksakt før afrunding.</x:v>
      </x:c>
      <x:c r="C37" s="13"/>
      <x:c r="D37" s="13"/>
      <x:c r="E37" s="13"/>
      <x:c r="F37" s="13"/>
      <x:c r="G37" s="13"/>
      <x:c r="H37" s="13"/>
      <x:c r="I37" s="2"/>
    </x:row>
    <x:row r="38" ht="24" customHeight="1">
      <x:c r="A38" s="2"/>
      <x:c r="B38" s="13" t="str">
        <x:v>Ved overlappende lokale stød gælder additivitet generelt kun som førsteordensapproksimation.</x:v>
      </x:c>
      <x:c r="C38" s="13"/>
      <x:c r="D38" s="13"/>
      <x:c r="E38" s="13"/>
      <x:c r="F38" s="13"/>
      <x:c r="G38" s="13"/>
      <x:c r="H38" s="13"/>
      <x:c r="I38" s="2"/>
    </x:row>
    <x:row r="39" ht="24" customHeight="1">
      <x:c r="A39" s="2"/>
      <x:c r="B39" s="13" t="str">
        <x:v>Den store slutbetaling gør år 3 dominerende. Fordelingen viser, hvor på kurven renterisikoen ligger.</x:v>
      </x:c>
      <x:c r="C39" s="13"/>
      <x:c r="D39" s="13"/>
      <x:c r="E39" s="13"/>
      <x:c r="F39" s="13"/>
      <x:c r="G39" s="13"/>
      <x:c r="H39" s="13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</x:sheetData>
  <x:pageMargins left="0.7" right="0.7" top="0.75" bottom="0.75" header="0.3" footer="0.3"/>
  <x:drawing xmlns:r="http://schemas.openxmlformats.org/officeDocument/2006/relationships" r:id="R8abcc49853724064"/>
</x:worksheet>
</file>

<file path=xl/worksheets/sheet7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4.7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(a) 10 års løbetid betyder 10 års varighed — falsk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/>
      <x:c r="B8" s="13" t="str">
        <x:v>En kuponobligation betaler også før udløb. Nutidsværdiernes tyngdepunkt ligger derfor før år 10.</x:v>
      </x:c>
      <x:c r="C8" s="13"/>
      <x:c r="D8" s="13"/>
      <x:c r="E8" s="13"/>
      <x:c r="F8" s="13"/>
      <x:c r="G8" s="13"/>
      <x:c r="H8" s="13"/>
      <x:c r="I8" s="2"/>
    </x:row>
    <x:row r="9" ht="24" customHeight="1">
      <x:c r="A9" s="2"/>
      <x:c r="B9" s="13" t="str">
        <x:v>En 10-årig nulkuponobligation har derimod Macaulay-varighed på 10 år: hele betalingen kommer til sidst.</x:v>
      </x:c>
      <x:c r="C9" s="13"/>
      <x:c r="D9" s="13"/>
      <x:c r="E9" s="13"/>
      <x:c r="F9" s="13"/>
      <x:c r="G9" s="13"/>
      <x:c r="H9" s="13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4" customHeight="1">
      <x:c r="A12" s="2"/>
      <x:c r="B12" s="6" t="str">
        <x:v>(b) Modificeret varighed giver den præcise ændring — falsk</x:v>
      </x:c>
      <x:c r="C12" s="6"/>
      <x:c r="D12" s="6"/>
      <x:c r="E12" s="6"/>
      <x:c r="F12" s="6"/>
      <x:c r="G12" s="6"/>
      <x:c r="H12" s="6"/>
      <x:c r="I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4" customHeight="1">
      <x:c r="A14" s="2"/>
      <x:c r="B14" s="13" t="str">
        <x:v>Varighed er en lineær tilnærmelse for små renteændringer. Den ser bort fra priskurvens krumning.</x:v>
      </x:c>
      <x:c r="C14" s="13"/>
      <x:c r="D14" s="13"/>
      <x:c r="E14" s="13"/>
      <x:c r="F14" s="13"/>
      <x:c r="G14" s="13"/>
      <x:c r="H14" s="13"/>
      <x:c r="I14" s="2"/>
    </x:row>
    <x:row r="15" ht="24" customHeight="1">
      <x:c r="A15" s="2"/>
      <x:c r="B15" s="13" t="str">
        <x:v>Opgave 4.3 viser forskellen: ved større stød hjælper konveksitet, mens genprisning giver den faktiske kurs.</x:v>
      </x:c>
      <x:c r="C15" s="13"/>
      <x:c r="D15" s="13"/>
      <x:c r="E15" s="13"/>
      <x:c r="F15" s="13"/>
      <x:c r="G15" s="13"/>
      <x:c r="H15" s="13"/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6" t="str">
        <x:v>(c) Positiv konveksitet er en gratis fordel — falsk</x:v>
      </x:c>
      <x:c r="C18" s="6"/>
      <x:c r="D18" s="6"/>
      <x:c r="E18" s="6"/>
      <x:c r="F18" s="6"/>
      <x:c r="G18" s="6"/>
      <x:c r="H18" s="6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13" t="str">
        <x:v>Ved samme varighed forbedrer positiv konveksitet prisreaktionen i begge retninger.</x:v>
      </x:c>
      <x:c r="C20" s="13"/>
      <x:c r="D20" s="13"/>
      <x:c r="E20" s="13"/>
      <x:c r="F20" s="13"/>
      <x:c r="G20" s="13"/>
      <x:c r="H20" s="13"/>
      <x:c r="I20" s="2"/>
    </x:row>
    <x:row r="21" ht="24" customHeight="1">
      <x:c r="A21" s="2"/>
      <x:c r="B21" s="13" t="str">
        <x:v>Men fordelen kan være indregnet i en højere købspris og et lavere afkast. Højest konveksitet er ikke altid bedst.</x:v>
      </x:c>
      <x:c r="C21" s="13"/>
      <x:c r="D21" s="13"/>
      <x:c r="E21" s="13"/>
      <x:c r="F21" s="13"/>
      <x:c r="G21" s="13"/>
      <x:c r="H21" s="13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6" t="str">
        <x:v>(d) Nul kronevarighed betyder ingen renterisiko — falsk</x:v>
      </x:c>
      <x:c r="C24" s="6"/>
      <x:c r="D24" s="6"/>
      <x:c r="E24" s="6"/>
      <x:c r="F24" s="6"/>
      <x:c r="G24" s="6"/>
      <x:c r="H24" s="6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13" t="str">
        <x:v>Nul samlet kronevarighed fjerner kun førsteordensfølsomheden over for det valgte parallelle rentestød.</x:v>
      </x:c>
      <x:c r="C26" s="13"/>
      <x:c r="D26" s="13"/>
      <x:c r="E26" s="13"/>
      <x:c r="F26" s="13"/>
      <x:c r="G26" s="13"/>
      <x:c r="H26" s="13"/>
      <x:c r="I26" s="2"/>
    </x:row>
    <x:row r="27" ht="24" customHeight="1">
      <x:c r="A27" s="2"/>
      <x:c r="B27" s="13" t="str">
        <x:v>Risiko ved ændret kurveform og konveksitet kan stadig være til stede. Se også de lokale stød i 4.6.</x:v>
      </x:c>
      <x:c r="C27" s="13"/>
      <x:c r="D27" s="13"/>
      <x:c r="E27" s="13"/>
      <x:c r="F27" s="13"/>
      <x:c r="G27" s="13"/>
      <x:c r="H27" s="13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pageMargins left="0.7" right="0.7" top="0.75" bottom="0.75" header="0.3" footer="0.3"/>
</x:worksheet>
</file>