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a4a8c52e6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.1" sheetId="1" r:id="Ra87863739b8f476b"/>
    <x:sheet xmlns:r="http://schemas.openxmlformats.org/officeDocument/2006/relationships" name="3.2" sheetId="2" r:id="R0a8cd77b5b1743f4"/>
    <x:sheet xmlns:r="http://schemas.openxmlformats.org/officeDocument/2006/relationships" name="3.3" sheetId="3" r:id="R02fec65bb00d40fb"/>
    <x:sheet xmlns:r="http://schemas.openxmlformats.org/officeDocument/2006/relationships" name="3.4" sheetId="4" r:id="R9dd4044312a147a0"/>
    <x:sheet xmlns:r="http://schemas.openxmlformats.org/officeDocument/2006/relationships" name="3.5" sheetId="5" r:id="R5b1ca6aec18844d1"/>
    <x:sheet xmlns:r="http://schemas.openxmlformats.org/officeDocument/2006/relationships" name="3.6" sheetId="6" r:id="R97660ddbf38d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;(#,##0.00);0.00"/>
    <x:numFmt numFmtId="201" formatCode="0.00%;(0.00%);0.00%"/>
    <x:numFmt numFmtId="202" formatCode="0.0000%"/>
    <x:numFmt numFmtId="203" formatCode="0.000000"/>
    <x:numFmt numFmtId="204" formatCode="0.0000"/>
    <x:numFmt numFmtId="205" formatCode="0"/>
    <x:numFmt numFmtId="206" formatCode="General"/>
    <x:numFmt numFmtId="207" formatCode="0.00"/>
  </x:numFmts>
  <x:fonts count="10">
    <x:font>
      <x:sz val="11"/>
      <x:name val="Carlito"/>
    </x:font>
    <x:font>
      <x:sz val="11"/>
      <x:color rgb="FF142F44"/>
      <x:name val="Arial"/>
    </x:font>
    <x:font>
      <x:b/>
      <x:sz val="17"/>
      <x:color rgb="FF142F44"/>
      <x:name val="Arial"/>
    </x:font>
    <x:font>
      <x:b/>
      <x:sz val="11"/>
      <x:color rgb="FF142F44"/>
      <x:name val="Arial"/>
    </x:font>
    <x:font>
      <x:sz val="11"/>
      <x:color rgb="FF0000FF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sz val="11"/>
      <x:color rgb="FF53667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DF4F6"/>
      </x:patternFill>
    </x:fill>
    <x:fill>
      <x:patternFill patternType="solid">
        <x:fgColor rgb="FFFFF2CC"/>
      </x:patternFill>
    </x:fill>
    <x:fill>
      <x:patternFill patternType="solid">
        <x:fgColor rgb="FF142F44"/>
      </x:patternFill>
    </x:fill>
    <x:fill>
      <x:patternFill patternType="solid">
        <x:fgColor rgb="FFF1F3F5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/>
      <x:top style="thin">
        <x:color rgb="FF142F44"/>
      </x:top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200" fontId="8" fillId="2" borderId="2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5" fontId="4" fillId="3" borderId="0" xfId="0" applyNumberFormat="1" applyFont="1" applyFill="1" applyBorder="1" applyAlignment="1">
      <x:alignment vertical="center"/>
    </x:xf>
    <x:xf numFmtId="207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3" fontId="7" fillId="2" borderId="0" xfId="0" applyNumberFormat="1" applyFont="1" applyFill="1" applyBorder="1" applyAlignment="1">
      <x:alignment vertical="center"/>
    </x:xf>
    <x:xf numFmtId="203" fontId="8" fillId="2" borderId="0" xfId="0" applyNumberFormat="1" applyFont="1" applyFill="1" applyBorder="1" applyAlignment="1">
      <x:alignment vertical="center"/>
    </x:xf>
    <x:xf numFmtId="203" fontId="8" fillId="2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a6c180562482f" /><Relationship Type="http://schemas.openxmlformats.org/officeDocument/2006/relationships/theme" Target="/xl/theme/theme1.xml" Id="R575ed664e7954119" /><Relationship Type="http://schemas.openxmlformats.org/officeDocument/2006/relationships/sharedStrings" Target="/xl/sharedStrings.xml" Id="R25039af1496249c4" /><Relationship Type="http://schemas.openxmlformats.org/officeDocument/2006/relationships/worksheet" Target="/xl/worksheets/sheet1.xml" Id="Ra87863739b8f476b" /><Relationship Type="http://schemas.openxmlformats.org/officeDocument/2006/relationships/worksheet" Target="/xl/worksheets/sheet2.xml" Id="R0a8cd77b5b1743f4" /><Relationship Type="http://schemas.openxmlformats.org/officeDocument/2006/relationships/worksheet" Target="/xl/worksheets/sheet3.xml" Id="R02fec65bb00d40fb" /><Relationship Type="http://schemas.openxmlformats.org/officeDocument/2006/relationships/worksheet" Target="/xl/worksheets/sheet4.xml" Id="R9dd4044312a147a0" /><Relationship Type="http://schemas.openxmlformats.org/officeDocument/2006/relationships/worksheet" Target="/xl/worksheets/sheet5.xml" Id="R5b1ca6aec18844d1" /><Relationship Type="http://schemas.openxmlformats.org/officeDocument/2006/relationships/worksheet" Target="/xl/worksheets/sheet6.xml" Id="R97660ddbf38d4b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9a32c1bdb84b5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92fb3fea060445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fdaed335a9844f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66e8afd7038418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410f285df78c47d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Betalingernes størrelse og tidspunkt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Nulkupon: betaling</c:v>
          </c:tx>
          <c:spPr>
            <a:solidFill xmlns:a="http://schemas.openxmlformats.org/drawingml/2006/main">
              <a:srgbClr val="087F8C"/>
            </a:solidFill>
          </c:spPr>
          <c:invertIfNegative val="0"/>
          <c:cat>
            <c:strRef>
              <c:f>'3.1'!$B$13:$B$14</c:f>
              <c:strCache>
                <c:ptCount val="0"/>
              </c:strCache>
            </c:strRef>
          </c:cat>
          <c:val>
            <c:numRef>
              <c:f>'3.1'!$E$13:$E$14</c:f>
              <c:numCache>
                <c:formatCode>#,##0.00;(#,##0.00);0.00</c:formatCode>
                <c:ptCount val="0"/>
              </c:numCache>
            </c:numRef>
          </c:val>
        </c:ser>
        <c:ser>
          <c:idx val="1"/>
          <c:order val="1"/>
          <c:tx>
            <c:v>Kupon: betaling</c:v>
          </c:tx>
          <c:spPr>
            <a:solidFill xmlns:a="http://schemas.openxmlformats.org/drawingml/2006/main">
              <a:srgbClr val="CA7A20"/>
            </a:solidFill>
          </c:spPr>
          <c:invertIfNegative val="0"/>
          <c:cat>
            <c:strRef>
              <c:f>'3.1'!$B$13:$B$14</c:f>
              <c:strCache>
                <c:ptCount val="0"/>
              </c:strCache>
            </c:strRef>
          </c:cat>
          <c:val>
            <c:numRef>
              <c:f>'3.1'!$F$13:$F$14</c:f>
              <c:numCache>
                <c:formatCode>#,##0.00;(#,##0.00);0.00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Betaling pr. 100 nominel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Bootstrappede nulkuponrenter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Spotrente</c:v>
          </c:tx>
          <c:spPr>
            <a:solidFill xmlns:a="http://schemas.openxmlformats.org/drawingml/2006/main">
              <a:srgbClr val="087F8C"/>
            </a:solidFill>
            <a:ln xmlns:a="http://schemas.openxmlformats.org/drawingml/2006/main" w="19050">
              <a:solidFill>
                <a:srgbClr val="087F8C"/>
              </a:solidFill>
              <a:prstDash val="solid"/>
            </a:ln>
          </c:spPr>
          <c:marker>
            <c:symbol val="none"/>
          </c:marker>
          <c:cat>
            <c:strRef>
              <c:f>'3.2'!$B$19:$B$21</c:f>
              <c:strCache>
                <c:ptCount val="0"/>
              </c:strCache>
            </c:strRef>
          </c:cat>
          <c:val>
            <c:numRef>
              <c:f>'3.2'!$H$19:$H$21</c:f>
              <c:numCache>
                <c:formatCode>0.0000%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Årlig spotrente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Hver betalings bidrag til kursen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Nutidsværdi</c:v>
          </c:tx>
          <c:spPr>
            <a:solidFill xmlns:a="http://schemas.openxmlformats.org/drawingml/2006/main">
              <a:srgbClr val="087F8C"/>
            </a:solidFill>
          </c:spPr>
          <c:invertIfNegative val="0"/>
          <c:cat>
            <c:strRef>
              <c:f>'3.3'!$B$13:$B$16</c:f>
              <c:strCache>
                <c:ptCount val="0"/>
              </c:strCache>
            </c:strRef>
          </c:cat>
          <c:val>
            <c:numRef>
              <c:f>'3.3'!$H$13:$H$16</c:f>
              <c:numCache>
                <c:formatCode>#,##0.00;(#,##0.00);0.00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Nutidsværdi pr. 100 nominel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Rentekurvens tre oplyste punkter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Rente</c:v>
          </c:tx>
          <c:spPr>
            <a:solidFill xmlns:a="http://schemas.openxmlformats.org/drawingml/2006/main">
              <a:srgbClr val="087F8C"/>
            </a:solidFill>
            <a:ln xmlns:a="http://schemas.openxmlformats.org/drawingml/2006/main" w="19050">
              <a:solidFill>
                <a:srgbClr val="087F8C"/>
              </a:solidFill>
              <a:prstDash val="solid"/>
            </a:ln>
          </c:spPr>
          <c:xVal>
            <c:numRef>
              <c:f>'3.4'!$B$9:$B$11</c:f>
              <c:numCache>
                <c:formatCode>0.00</c:formatCode>
                <c:ptCount val="0"/>
              </c:numCache>
            </c:numRef>
          </c:xVal>
          <c:yVal>
            <c:numRef>
              <c:f>'3.4'!$C$9:$C$11</c:f>
              <c:numCache>
                <c:formatCode>0.00%;(0.00%);0.00%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Årlig rente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Løbetid, år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Værditab ved de to kurveskift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A: værditab</c:v>
          </c:tx>
          <c:spPr>
            <a:solidFill xmlns:a="http://schemas.openxmlformats.org/drawingml/2006/main">
              <a:srgbClr val="087F8C"/>
            </a:solidFill>
          </c:spPr>
          <c:invertIfNegative val="0"/>
          <c:cat>
            <c:strRef>
              <c:f>'3.6'!$B$40:$B$41</c:f>
              <c:strCache>
                <c:ptCount val="0"/>
              </c:strCache>
            </c:strRef>
          </c:cat>
          <c:val>
            <c:numRef>
              <c:f>'3.6'!$C$40:$C$41</c:f>
              <c:numCache>
                <c:formatCode>#,##0.00;(#,##0.00);0.00</c:formatCode>
                <c:ptCount val="0"/>
              </c:numCache>
            </c:numRef>
          </c:val>
        </c:ser>
        <c:ser>
          <c:idx val="1"/>
          <c:order val="1"/>
          <c:tx>
            <c:v>B: værditab</c:v>
          </c:tx>
          <c:spPr>
            <a:solidFill xmlns:a="http://schemas.openxmlformats.org/drawingml/2006/main">
              <a:srgbClr val="CA7A20"/>
            </a:solidFill>
          </c:spPr>
          <c:invertIfNegative val="0"/>
          <c:cat>
            <c:strRef>
              <c:f>'3.6'!$B$40:$B$41</c:f>
              <c:strCache>
                <c:ptCount val="0"/>
              </c:strCache>
            </c:strRef>
          </c:cat>
          <c:val>
            <c:numRef>
              <c:f>'3.6'!$D$40:$D$41</c:f>
              <c:numCache>
                <c:formatCode>#,##0.00;(#,##0.00);0.00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Værditab i samme enhed som betalingerne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36</xdr:row>
      <xdr:rowOff>0</xdr:rowOff>
    </xdr:from>
    <xdr:to>
      <xdr:col>8</xdr:col>
      <xdr:colOff>0</xdr:colOff>
      <xdr:row>53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9a32c1bdb84b5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46</xdr:row>
      <xdr:rowOff>0</xdr:rowOff>
    </xdr:from>
    <xdr:to>
      <xdr:col>8</xdr:col>
      <xdr:colOff>0</xdr:colOff>
      <xdr:row>64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2fb3fea060445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</xdr:col>
      <xdr:colOff>0</xdr:colOff>
      <xdr:row>35</xdr:row>
      <xdr:rowOff>0</xdr:rowOff>
    </xdr:from>
    <xdr:to>
      <xdr:col>8</xdr:col>
      <xdr:colOff>0</xdr:colOff>
      <xdr:row>51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aed335a9844ff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</xdr:col>
      <xdr:colOff>0</xdr:colOff>
      <xdr:row>32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6e8afd7038418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</xdr:col>
      <xdr:colOff>0</xdr:colOff>
      <xdr:row>49</xdr:row>
      <xdr:rowOff>0</xdr:rowOff>
    </xdr:from>
    <xdr:to>
      <xdr:col>8</xdr:col>
      <xdr:colOff>0</xdr:colOff>
      <xdr:row>65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0f285df78c47d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a78f55461b4c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5e9b54656bf48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ba1667135fe4b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b7011908e3e34f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6ca74cc655484fd4" /></Relationships>
</file>

<file path=xl/worksheets/sheet1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3.1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Hovedstol</x:v>
      </x:c>
      <x:c r="C7" s="9" t="n">
        <x:v>100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Årlig kuponrente</x:v>
      </x:c>
      <x:c r="C8" s="12" t="n">
        <x:v>0.08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 t="str">
        <x:v>Prøverente til (b)</x:v>
      </x:c>
      <x:c r="C9" s="15" t="n">
        <x:v>0.0293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34" customHeight="1">
      <x:c r="A12" s="2"/>
      <x:c r="B12" s="20" t="str">
        <x:v>År</x:v>
      </x:c>
      <x:c r="C12" s="20" t="str">
        <x:v>Spotrente</x:v>
      </x:c>
      <x:c r="D12" s="20" t="str">
        <x:v>Diskonteringsfaktor</x:v>
      </x:c>
      <x:c r="E12" s="20" t="str">
        <x:v>Nulkupon: betaling</x:v>
      </x:c>
      <x:c r="F12" s="20" t="str">
        <x:v>Kupon: betaling</x:v>
      </x:c>
      <x:c r="G12" s="20" t="str">
        <x:v>Nulkupon: PV</x:v>
      </x:c>
      <x:c r="H12" s="20" t="str">
        <x:v>Kupon: PV</x:v>
      </x:c>
      <x:c r="I12" s="2"/>
    </x:row>
    <x:row r="13" ht="24" customHeight="1">
      <x:c r="A13" s="2"/>
      <x:c r="B13" s="2" t="n">
        <x:v>1</x:v>
      </x:c>
      <x:c r="C13" s="12" t="n">
        <x:v>0.01</x:v>
      </x:c>
      <x:c r="D13" s="22" t="n">
        <x:f>1/(1+C13)^B13</x:f>
        <x:v>0.9900990099009901</x:v>
      </x:c>
      <x:c r="E13" s="23" t="n">
        <x:f>0</x:f>
        <x:v>0</x:v>
      </x:c>
      <x:c r="F13" s="23" t="n">
        <x:f>$C$7*$C$8+E13</x:f>
        <x:v>8</x:v>
      </x:c>
      <x:c r="G13" s="23" t="n">
        <x:f>E13*D13</x:f>
        <x:v>0</x:v>
      </x:c>
      <x:c r="H13" s="23" t="n">
        <x:f>F13*D13</x:f>
        <x:v>7.920792079207921</x:v>
      </x:c>
      <x:c r="I13" s="2"/>
    </x:row>
    <x:row r="14" ht="24" customHeight="1">
      <x:c r="A14" s="2"/>
      <x:c r="B14" s="2" t="n">
        <x:v>2</x:v>
      </x:c>
      <x:c r="C14" s="12" t="n">
        <x:v>0.03</x:v>
      </x:c>
      <x:c r="D14" s="22" t="n">
        <x:f>1/(1+C14)^B14</x:f>
        <x:v>0.9425959091337544</x:v>
      </x:c>
      <x:c r="E14" s="23" t="n">
        <x:f>$C$7</x:f>
        <x:v>100</x:v>
      </x:c>
      <x:c r="F14" s="23" t="n">
        <x:f>$C$7*$C$8+E14</x:f>
        <x:v>108</x:v>
      </x:c>
      <x:c r="G14" s="23" t="n">
        <x:f>E14*D14</x:f>
        <x:v>94.25959091337543</x:v>
      </x:c>
      <x:c r="H14" s="23" t="n">
        <x:f>F14*D14</x:f>
        <x:v>101.80035818644546</x:v>
      </x:c>
      <x:c r="I14" s="2"/>
    </x:row>
    <x:row r="15" ht="24" customHeight="1">
      <x:c r="A15" s="2"/>
      <x:c r="B15" s="26" t="str">
        <x:v>(a) Kurs = sum af nutidsværdier</x:v>
      </x:c>
      <x:c r="C15" s="26"/>
      <x:c r="D15" s="26"/>
      <x:c r="E15" s="26"/>
      <x:c r="F15" s="26"/>
      <x:c r="G15" s="27" t="n">
        <x:f>SUM(G13:G14)</x:f>
        <x:v>94.25959091337543</x:v>
      </x:c>
      <x:c r="H15" s="27" t="n">
        <x:f>SUM(H13:H14)</x:f>
        <x:v>109.72115026565339</x:v>
      </x:c>
      <x:c r="I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4" customHeight="1">
      <x:c r="A18" s="2"/>
      <x:c r="B18" s="2" t="str">
        <x:v>(b) Nulkupon: effektiv rente</x:v>
      </x:c>
      <x:c r="C18" s="28" t="n">
        <x:f>(C7/G15)^(1/B14)-1</x:f>
        <x:v>0.030000000000000027</x:v>
      </x:c>
      <x:c r="D18" s="2"/>
      <x:c r="E18" s="2"/>
      <x:c r="F18" s="2"/>
      <x:c r="G18" s="2"/>
      <x:c r="H18" s="2"/>
      <x:c r="I18" s="2"/>
    </x:row>
    <x:row r="19" ht="24" customHeight="1">
      <x:c r="A19" s="2"/>
      <x:c r="B19" s="2" t="str">
        <x:v>Kupon: eksakt effektiv rente</x:v>
      </x:c>
      <x:c r="C19" s="28" t="n">
        <x:f>RATE(B14,C7*C8,-H15,C7)</x:f>
        <x:v>0.029251327185703696</x:v>
      </x:c>
      <x:c r="D19" s="2"/>
      <x:c r="E19" s="2"/>
      <x:c r="F19" s="2"/>
      <x:c r="G19" s="2"/>
      <x:c r="H19" s="2"/>
      <x:c r="I19" s="2"/>
    </x:row>
    <x:row r="20" ht="24" customHeight="1">
      <x:c r="A20" s="2"/>
      <x:c r="B20" s="2" t="str">
        <x:v>Kurs ved prøverenten</x:v>
      </x:c>
      <x:c r="C20" s="30" t="n">
        <x:f>F13/(1+C9)^B13+F14/(1+C9)^B14</x:f>
        <x:v>109.71114120761824</x:v>
      </x:c>
      <x:c r="D20" s="2"/>
      <x:c r="E20" s="2"/>
      <x:c r="F20" s="2"/>
      <x:c r="G20" s="2"/>
      <x:c r="H20" s="2"/>
      <x:c r="I20" s="2"/>
    </x:row>
    <x:row r="21" ht="24" customHeight="1">
      <x:c r="A21" s="2"/>
      <x:c r="B21" s="2" t="str">
        <x:v>Afvigelse fra kurvens pris</x:v>
      </x:c>
      <x:c r="C21" s="30" t="n">
        <x:f>C20-H15</x:f>
        <x:v>-0.010009058035151952</x:v>
      </x:c>
      <x:c r="D21" s="2"/>
      <x:c r="E21" s="2"/>
      <x:c r="F21" s="2"/>
      <x:c r="G21" s="2"/>
      <x:c r="H21" s="2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/>
      <x:c r="B23" s="31" t="str">
        <x:v>(b) Indsæt prøverenten i begge diskonteringsled. Den lille afvigelse skyldes afrunding til 2,93 %.</x:v>
      </x:c>
      <x:c r="C23" s="31"/>
      <x:c r="D23" s="31"/>
      <x:c r="E23" s="31"/>
      <x:c r="F23" s="31"/>
      <x:c r="G23" s="31"/>
      <x:c r="H23" s="31"/>
      <x:c r="I23" s="2"/>
    </x:row>
    <x:row r="24" ht="24" customHeight="1">
      <x:c r="A24" s="2"/>
      <x:c r="B24" s="31" t="str">
        <x:v>RATE finder den ene rente, som giver samme pris som spotkurven.</x:v>
      </x:c>
      <x:c r="C24" s="31"/>
      <x:c r="D24" s="31"/>
      <x:c r="E24" s="31"/>
      <x:c r="F24" s="31"/>
      <x:c r="G24" s="31"/>
      <x:c r="H24" s="31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6" t="str">
        <x:v>(c) Hvorfor bliver de effektive renter forskellige?</x:v>
      </x:c>
      <x:c r="C26" s="6"/>
      <x:c r="D26" s="6"/>
      <x:c r="E26" s="6"/>
      <x:c r="F26" s="6"/>
      <x:c r="G26" s="6"/>
      <x:c r="H26" s="6"/>
      <x:c r="I26" s="2"/>
    </x:row>
    <x:row r="27" ht="24" customHeight="1">
      <x:c r="A27" s="2"/>
      <x:c r="B27" s="31" t="str">
        <x:v>Med opgavens input får kuponobligationen en betaling allerede i år 1, hvor spotrenten er lavere.</x:v>
      </x:c>
      <x:c r="C27" s="31"/>
      <x:c r="D27" s="31"/>
      <x:c r="E27" s="31"/>
      <x:c r="F27" s="31"/>
      <x:c r="G27" s="31"/>
      <x:c r="H27" s="31"/>
      <x:c r="I27" s="2"/>
    </x:row>
    <x:row r="28" ht="24" customHeight="1">
      <x:c r="A28" s="2"/>
      <x:c r="B28" s="31" t="str">
        <x:v>Dens effektive rente bliver derfor lavere end nulkuponobligationens. Den er ikke et simpelt gennemsnit.</x:v>
      </x:c>
      <x:c r="C28" s="31"/>
      <x:c r="D28" s="31"/>
      <x:c r="E28" s="31"/>
      <x:c r="F28" s="31"/>
      <x:c r="G28" s="31"/>
      <x:c r="H28" s="31"/>
      <x:c r="I28" s="2"/>
    </x:row>
    <x:row r="29" ht="24" customHeight="1">
      <x:c r="A29" s="2"/>
      <x:c r="B29" s="31" t="str">
        <x:v>Spotrenten priser én betalingsdato. Den effektive rente opsummerer en hel betalingsrække.</x:v>
      </x:c>
      <x:c r="C29" s="31"/>
      <x:c r="D29" s="31"/>
      <x:c r="E29" s="31"/>
      <x:c r="F29" s="31"/>
      <x:c r="G29" s="31"/>
      <x:c r="H29" s="31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4" customHeight="1">
      <x:c r="A31" s="2"/>
      <x:c r="B31" s="6" t="str">
        <x:v>(d) Horisontal og vertikal rentestruktur</x:v>
      </x:c>
      <x:c r="C31" s="6"/>
      <x:c r="D31" s="6"/>
      <x:c r="E31" s="6"/>
      <x:c r="F31" s="6"/>
      <x:c r="G31" s="6"/>
      <x:c r="H31" s="6"/>
      <x:c r="I31" s="2"/>
    </x:row>
    <x:row r="32" ht="24" customHeight="1">
      <x:c r="A32" s="2"/>
      <x:c r="B32" s="31" t="str">
        <x:v>Ingen af delene rent: slutdatoen er ens, og forskellen skyldes betalingsprofilen på samme kurve.</x:v>
      </x:c>
      <x:c r="C32" s="31"/>
      <x:c r="D32" s="31"/>
      <x:c r="E32" s="31"/>
      <x:c r="F32" s="31"/>
      <x:c r="G32" s="31"/>
      <x:c r="H32" s="31"/>
      <x:c r="I32" s="2"/>
    </x:row>
    <x:row r="33" ht="24" customHeight="1">
      <x:c r="A33" s="2"/>
      <x:c r="B33" s="31" t="str">
        <x:v>Horisontal: sammenlign fx 1- og 2-årige nulkuponrenter for samme risiko og valuta.</x:v>
      </x:c>
      <x:c r="C33" s="31"/>
      <x:c r="D33" s="31"/>
      <x:c r="E33" s="31"/>
      <x:c r="F33" s="31"/>
      <x:c r="G33" s="31"/>
      <x:c r="H33" s="31"/>
      <x:c r="I33" s="2"/>
    </x:row>
    <x:row r="34" ht="24" customHeight="1">
      <x:c r="A34" s="2"/>
      <x:c r="B34" s="31" t="str">
        <x:v>Vertikal: sammenlign fx stat og realkredit ved samme løbetid med hensyn til betalingsprofil og vilkår.</x:v>
      </x:c>
      <x:c r="C34" s="31"/>
      <x:c r="D34" s="31"/>
      <x:c r="E34" s="31"/>
      <x:c r="F34" s="31"/>
      <x:c r="G34" s="31"/>
      <x:c r="H34" s="31"/>
      <x:c r="I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</x:row>
  </x:sheetData>
  <x:pageMargins left="0.7" right="0.7" top="0.75" bottom="0.75" header="0.3" footer="0.3"/>
  <x:drawing xmlns:r="http://schemas.openxmlformats.org/officeDocument/2006/relationships" r:id="R36a78f55461b4cf2"/>
</x:worksheet>
</file>

<file path=xl/worksheets/sheet2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3.2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Hovedstol</x:v>
      </x:c>
      <x:c r="C7" s="9" t="n">
        <x:v>100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Kuponrente på ny obligation</x:v>
      </x:c>
      <x:c r="C8" s="12" t="n">
        <x:v>0.02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34" customHeight="1">
      <x:c r="A10" s="2"/>
      <x:c r="B10" s="20" t="str">
        <x:v>Obligation</x:v>
      </x:c>
      <x:c r="C10" s="20" t="str">
        <x:v>År</x:v>
      </x:c>
      <x:c r="D10" s="20" t="str">
        <x:v>Kuponrente</x:v>
      </x:c>
      <x:c r="E10" s="20" t="str">
        <x:v>Markedskurs</x:v>
      </x:c>
      <x:c r="F10" s="2"/>
      <x:c r="G10" s="2"/>
      <x:c r="H10" s="2"/>
      <x:c r="I10" s="2"/>
    </x:row>
    <x:row r="11" ht="24" customHeight="1">
      <x:c r="A11" s="2"/>
      <x:c r="B11" s="2" t="str">
        <x:v>Skatkammerbevis</x:v>
      </x:c>
      <x:c r="C11" s="2" t="n">
        <x:v>1</x:v>
      </x:c>
      <x:c r="D11" s="33" t="n">
        <x:v>0</x:v>
      </x:c>
      <x:c r="E11" s="9" t="n">
        <x:v>98.04</x:v>
      </x:c>
      <x:c r="F11" s="2"/>
      <x:c r="G11" s="2"/>
      <x:c r="H11" s="2"/>
      <x:c r="I11" s="2"/>
    </x:row>
    <x:row r="12" ht="24" customHeight="1">
      <x:c r="A12" s="2"/>
      <x:c r="B12" s="2" t="str">
        <x:v>Kuponobligation A</x:v>
      </x:c>
      <x:c r="C12" s="2" t="n">
        <x:v>2</x:v>
      </x:c>
      <x:c r="D12" s="12" t="n">
        <x:v>0.03</x:v>
      </x:c>
      <x:c r="E12" s="9" t="n">
        <x:v>100.03</x:v>
      </x:c>
      <x:c r="F12" s="2"/>
      <x:c r="G12" s="2"/>
      <x:c r="H12" s="2"/>
      <x:c r="I12" s="2"/>
    </x:row>
    <x:row r="13" ht="24" customHeight="1">
      <x:c r="A13" s="2"/>
      <x:c r="B13" s="2" t="str">
        <x:v>Kuponobligation B</x:v>
      </x:c>
      <x:c r="C13" s="2" t="n">
        <x:v>3</x:v>
      </x:c>
      <x:c r="D13" s="12" t="n">
        <x:v>0.04</x:v>
      </x:c>
      <x:c r="E13" s="9" t="n">
        <x:v>100.15</x:v>
      </x:c>
      <x:c r="F13" s="2"/>
      <x:c r="G13" s="2"/>
      <x:c r="H13" s="2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4" customHeight="1">
      <x:c r="A16" s="2"/>
      <x:c r="B16" s="6" t="str">
        <x:v>(a–b) Find én ny diskonteringsfaktor ad gangen</x:v>
      </x:c>
      <x:c r="C16" s="6"/>
      <x:c r="D16" s="6"/>
      <x:c r="E16" s="6"/>
      <x:c r="F16" s="6"/>
      <x:c r="G16" s="6"/>
      <x:c r="H16" s="6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34" customHeight="1">
      <x:c r="A18" s="2"/>
      <x:c r="B18" s="20" t="str">
        <x:v>Trin / løbetid</x:v>
      </x:c>
      <x:c r="C18" s="20" t="str">
        <x:v>Kupon</x:v>
      </x:c>
      <x:c r="D18" s="20" t="str">
        <x:v>PV af tidlige kuponer</x:v>
      </x:c>
      <x:c r="E18" s="20" t="str">
        <x:v>Pris til slutbetaling</x:v>
      </x:c>
      <x:c r="F18" s="20" t="str">
        <x:v>Slutbetaling</x:v>
      </x:c>
      <x:c r="G18" s="20" t="str">
        <x:v>Diskonteringsfaktor</x:v>
      </x:c>
      <x:c r="H18" s="20" t="str">
        <x:v>Spotrente</x:v>
      </x:c>
      <x:c r="I18" s="2"/>
    </x:row>
    <x:row r="19" ht="24" customHeight="1">
      <x:c r="A19" s="2"/>
      <x:c r="B19" s="35" t="n">
        <x:f>C11</x:f>
        <x:v>1</x:v>
      </x:c>
      <x:c r="C19" s="23" t="n">
        <x:f>$C$7*D11</x:f>
        <x:v>0</x:v>
      </x:c>
      <x:c r="D19" s="23" t="n">
        <x:f>0</x:f>
        <x:v>0</x:v>
      </x:c>
      <x:c r="E19" s="23" t="n">
        <x:f>E11-D19</x:f>
        <x:v>98.04</x:v>
      </x:c>
      <x:c r="F19" s="23" t="n">
        <x:f>$C$7+C19</x:f>
        <x:v>100</x:v>
      </x:c>
      <x:c r="G19" s="22" t="n">
        <x:f>E19/F19</x:f>
        <x:v>0.9804</x:v>
      </x:c>
      <x:c r="H19" s="28" t="n">
        <x:f>G19^(-1/B19)-1</x:f>
        <x:v>0.01999184006527943</x:v>
      </x:c>
      <x:c r="I19" s="2"/>
    </x:row>
    <x:row r="20" ht="24" customHeight="1">
      <x:c r="A20" s="2"/>
      <x:c r="B20" s="35" t="n">
        <x:f>C12</x:f>
        <x:v>2</x:v>
      </x:c>
      <x:c r="C20" s="23" t="n">
        <x:f>$C$7*D12</x:f>
        <x:v>3</x:v>
      </x:c>
      <x:c r="D20" s="23" t="n">
        <x:f>C20*G19</x:f>
        <x:v>2.9412000000000003</x:v>
      </x:c>
      <x:c r="E20" s="23" t="n">
        <x:f>E12-D20</x:f>
        <x:v>97.0888</x:v>
      </x:c>
      <x:c r="F20" s="23" t="n">
        <x:f>$C$7+C20</x:f>
        <x:v>103</x:v>
      </x:c>
      <x:c r="G20" s="22" t="n">
        <x:f>E20/F20</x:f>
        <x:v>0.9426097087378641</x:v>
      </x:c>
      <x:c r="H20" s="28" t="n">
        <x:f>G20^(-1/B20)-1</x:f>
        <x:v>0.0299924604827837</x:v>
      </x:c>
      <x:c r="I20" s="2"/>
    </x:row>
    <x:row r="21" ht="24" customHeight="1">
      <x:c r="A21" s="2"/>
      <x:c r="B21" s="35" t="n">
        <x:f>C13</x:f>
        <x:v>3</x:v>
      </x:c>
      <x:c r="C21" s="23" t="n">
        <x:f>$C$7*D13</x:f>
        <x:v>4</x:v>
      </x:c>
      <x:c r="D21" s="23" t="n">
        <x:f>C21*SUM(G19:G20)</x:f>
        <x:v>7.692038834951457</x:v>
      </x:c>
      <x:c r="E21" s="23" t="n">
        <x:f>E13-D21</x:f>
        <x:v>92.45796116504854</x:v>
      </x:c>
      <x:c r="F21" s="23" t="n">
        <x:f>$C$7+C21</x:f>
        <x:v>104</x:v>
      </x:c>
      <x:c r="G21" s="22" t="n">
        <x:f>E21/F21</x:f>
        <x:v>0.889018857356236</x:v>
      </x:c>
      <x:c r="H21" s="28" t="n">
        <x:f>G21^(-1/B21)-1</x:f>
        <x:v>0.03999122672148481</x:v>
      </x:c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/>
      <x:c r="B23" s="31" t="str">
        <x:v>Træk værdien af de kendte tidlige kuponer fra kursen. Resten betaler for den sidste betaling.</x:v>
      </x:c>
      <x:c r="C23" s="31"/>
      <x:c r="D23" s="31"/>
      <x:c r="E23" s="31"/>
      <x:c r="F23" s="31"/>
      <x:c r="G23" s="31"/>
      <x:c r="H23" s="31"/>
      <x:c r="I23" s="2"/>
    </x:row>
    <x:row r="24" ht="24" customHeight="1">
      <x:c r="A24" s="2"/>
      <x:c r="B24" s="31" t="str">
        <x:v>Diskonteringsfaktor = restpris / slutbetaling. Spotrente = faktor^(-1/år) - 1.</x:v>
      </x:c>
      <x:c r="C24" s="31"/>
      <x:c r="D24" s="31"/>
      <x:c r="E24" s="31"/>
      <x:c r="F24" s="31"/>
      <x:c r="G24" s="31"/>
      <x:c r="H24" s="31"/>
      <x:c r="I24" s="2"/>
    </x:row>
    <x:row r="25" ht="24" customHeight="1">
      <x:c r="A25" s="2"/>
      <x:c r="B25" s="31" t="str">
        <x:v>Loven om én pris: samme betaling på samme dato og med samme risiko skal koste det samme.</x:v>
      </x:c>
      <x:c r="C25" s="31"/>
      <x:c r="D25" s="31"/>
      <x:c r="E25" s="31"/>
      <x:c r="F25" s="31"/>
      <x:c r="G25" s="31"/>
      <x:c r="H25" s="31"/>
      <x:c r="I25" s="2"/>
    </x:row>
    <x:row r="26" ht="24" customHeight="1">
      <x:c r="A26" s="2"/>
      <x:c r="B26" s="31" t="str">
        <x:v>Ellers kan de samme betalinger købes billigt og sælges dyrt. Opgaven ser bort fra handelsfriktioner.</x:v>
      </x:c>
      <x:c r="C26" s="31"/>
      <x:c r="D26" s="31"/>
      <x:c r="E26" s="31"/>
      <x:c r="F26" s="31"/>
      <x:c r="G26" s="31"/>
      <x:c r="H26" s="31"/>
      <x:c r="I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4" customHeight="1">
      <x:c r="A28" s="2"/>
      <x:c r="B28" s="2" t="str">
        <x:v>(b) Pris i dag på 1 kr. om 2 år</x:v>
      </x:c>
      <x:c r="C28" s="22" t="n">
        <x:f>G20</x:f>
        <x:v>0.9426097087378641</x:v>
      </x:c>
      <x:c r="D28" s="2"/>
      <x:c r="E28" s="2"/>
      <x:c r="F28" s="2"/>
      <x:c r="G28" s="2"/>
      <x:c r="H28" s="2"/>
      <x:c r="I28" s="2"/>
    </x:row>
    <x:row r="29" ht="24" customHeight="1">
      <x:c r="A29" s="2"/>
      <x:c r="B29" s="31" t="str">
        <x:v>d₂ er prisen i dag på én krone, som modtages om to år, på det anvendte prisningsgrundlag.</x:v>
      </x:c>
      <x:c r="C29" s="31"/>
      <x:c r="D29" s="31"/>
      <x:c r="E29" s="31"/>
      <x:c r="F29" s="31"/>
      <x:c r="G29" s="31"/>
      <x:c r="H29" s="31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4" customHeight="1">
      <x:c r="A31" s="2"/>
      <x:c r="B31" s="6" t="str">
        <x:v>(c) Pris på den nye 3-årige obligation</x:v>
      </x:c>
      <x:c r="C31" s="6"/>
      <x:c r="D31" s="6"/>
      <x:c r="E31" s="6"/>
      <x:c r="F31" s="6"/>
      <x:c r="G31" s="6"/>
      <x:c r="H31" s="6"/>
      <x:c r="I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34" customHeight="1">
      <x:c r="A33" s="2"/>
      <x:c r="B33" s="20" t="str">
        <x:v>År</x:v>
      </x:c>
      <x:c r="C33" s="20" t="str">
        <x:v>Betaling</x:v>
      </x:c>
      <x:c r="D33" s="20" t="str">
        <x:v>Diskonteringsfaktor</x:v>
      </x:c>
      <x:c r="E33" s="20" t="str">
        <x:v>Nutidsværdi</x:v>
      </x:c>
      <x:c r="F33" s="2"/>
      <x:c r="G33" s="2"/>
      <x:c r="H33" s="2"/>
      <x:c r="I33" s="2"/>
    </x:row>
    <x:row r="34" ht="24" customHeight="1">
      <x:c r="A34" s="2"/>
      <x:c r="B34" s="2" t="n">
        <x:v>1</x:v>
      </x:c>
      <x:c r="C34" s="23" t="n">
        <x:f>$C$7*$C$8+IF(B34=$B$21,$C$7,0)</x:f>
        <x:v>2</x:v>
      </x:c>
      <x:c r="D34" s="22" t="n">
        <x:f>G19</x:f>
        <x:v>0.9804</x:v>
      </x:c>
      <x:c r="E34" s="23" t="n">
        <x:f>C34*D34</x:f>
        <x:v>1.9608</x:v>
      </x:c>
      <x:c r="F34" s="2"/>
      <x:c r="G34" s="2"/>
      <x:c r="H34" s="2"/>
      <x:c r="I34" s="2"/>
    </x:row>
    <x:row r="35" ht="24" customHeight="1">
      <x:c r="A35" s="2"/>
      <x:c r="B35" s="2" t="n">
        <x:v>2</x:v>
      </x:c>
      <x:c r="C35" s="23" t="n">
        <x:f>$C$7*$C$8+IF(B35=$B$21,$C$7,0)</x:f>
        <x:v>2</x:v>
      </x:c>
      <x:c r="D35" s="22" t="n">
        <x:f>G20</x:f>
        <x:v>0.9426097087378641</x:v>
      </x:c>
      <x:c r="E35" s="23" t="n">
        <x:f>C35*D35</x:f>
        <x:v>1.8852194174757282</x:v>
      </x:c>
      <x:c r="F35" s="2"/>
      <x:c r="G35" s="2"/>
      <x:c r="H35" s="2"/>
      <x:c r="I35" s="2"/>
    </x:row>
    <x:row r="36" ht="24" customHeight="1">
      <x:c r="A36" s="2"/>
      <x:c r="B36" s="2" t="n">
        <x:v>3</x:v>
      </x:c>
      <x:c r="C36" s="23" t="n">
        <x:f>$C$7*$C$8+IF(B36=$B$21,$C$7,0)</x:f>
        <x:v>102</x:v>
      </x:c>
      <x:c r="D36" s="22" t="n">
        <x:f>G21</x:f>
        <x:v>0.889018857356236</x:v>
      </x:c>
      <x:c r="E36" s="23" t="n">
        <x:f>C36*D36</x:f>
        <x:v>90.67992345033608</x:v>
      </x:c>
      <x:c r="F36" s="2"/>
      <x:c r="G36" s="2"/>
      <x:c r="H36" s="2"/>
      <x:c r="I36" s="2"/>
    </x:row>
    <x:row r="37" ht="24" customHeight="1">
      <x:c r="A37" s="2"/>
      <x:c r="B37" s="26" t="str">
        <x:v>Teoretisk kurs</x:v>
      </x:c>
      <x:c r="C37" s="26"/>
      <x:c r="D37" s="26"/>
      <x:c r="E37" s="27" t="n">
        <x:f>SUM(E34:E36)</x:f>
        <x:v>94.5259428678118</x:v>
      </x:c>
      <x:c r="F37" s="2"/>
      <x:c r="G37" s="2"/>
      <x:c r="H37" s="2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4" customHeight="1">
      <x:c r="A39" s="2"/>
      <x:c r="B39" s="6" t="str">
        <x:v>(d) Fra handlede instrumenter til en sammenhængende kurve</x:v>
      </x:c>
      <x:c r="C39" s="6"/>
      <x:c r="D39" s="6"/>
      <x:c r="E39" s="6"/>
      <x:c r="F39" s="6"/>
      <x:c r="G39" s="6"/>
      <x:c r="H39" s="6"/>
      <x:c r="I39" s="2"/>
    </x:row>
    <x:row r="40" ht="24" customHeight="1">
      <x:c r="A40" s="2"/>
      <x:c r="B40" s="31" t="str">
        <x:v>Brug kuponobligationer eller swaps: kendte tidlige betalinger gør det muligt at udlede senere kurvepunkter.</x:v>
      </x:c>
      <x:c r="C40" s="31"/>
      <x:c r="D40" s="31"/>
      <x:c r="E40" s="31"/>
      <x:c r="F40" s="31"/>
      <x:c r="G40" s="31"/>
      <x:c r="H40" s="31"/>
      <x:c r="I40" s="2"/>
    </x:row>
    <x:row r="41" ht="24" customHeight="1">
      <x:c r="A41" s="2"/>
      <x:c r="B41" s="31" t="str">
        <x:v>Mellem observerede løbetider bruges interpolation eller kurvetilpasning. En 10-årig nulkupon behøver ikke handles.</x:v>
      </x:c>
      <x:c r="C41" s="31"/>
      <x:c r="D41" s="31"/>
      <x:c r="E41" s="31"/>
      <x:c r="F41" s="31"/>
      <x:c r="G41" s="31"/>
      <x:c r="H41" s="31"/>
      <x:c r="I41" s="2"/>
    </x:row>
    <x:row r="42" ht="24" customHeight="1">
      <x:c r="A42" s="2"/>
      <x:c r="B42" s="31" t="str">
        <x:v>En glat tilpasning dæmper kunstige hak og ustabile priser og risikomål mellem punkterne.</x:v>
      </x:c>
      <x:c r="C42" s="31"/>
      <x:c r="D42" s="31"/>
      <x:c r="E42" s="31"/>
      <x:c r="F42" s="31"/>
      <x:c r="G42" s="31"/>
      <x:c r="H42" s="31"/>
      <x:c r="I42" s="2"/>
    </x:row>
    <x:row r="43" ht="24" customHeight="1">
      <x:c r="A43" s="2"/>
      <x:c r="B43" s="31" t="str">
        <x:v>Glathed alene sikrer ikke fravær af arbitrage. Kurven skal også være konsistent med priser og betalingsvilkår.</x:v>
      </x:c>
      <x:c r="C43" s="31"/>
      <x:c r="D43" s="31"/>
      <x:c r="E43" s="31"/>
      <x:c r="F43" s="31"/>
      <x:c r="G43" s="31"/>
      <x:c r="H43" s="31"/>
      <x:c r="I43" s="2"/>
    </x:row>
    <x:row r="44" ht="24" customHeight="1">
      <x:c r="A44" s="2"/>
      <x:c r="B44" s="31" t="str">
        <x:v>De oplyste kurser er afrundede. Brug de uafrundede beregnede faktorer videre i regnearket.</x:v>
      </x:c>
      <x:c r="C44" s="31"/>
      <x:c r="D44" s="31"/>
      <x:c r="E44" s="31"/>
      <x:c r="F44" s="31"/>
      <x:c r="G44" s="31"/>
      <x:c r="H44" s="31"/>
      <x:c r="I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</x:row>
  </x:sheetData>
  <x:pageMargins left="0.7" right="0.7" top="0.75" bottom="0.75" header="0.3" footer="0.3"/>
  <x:drawing xmlns:r="http://schemas.openxmlformats.org/officeDocument/2006/relationships" r:id="R15e9b54656bf485c"/>
</x:worksheet>
</file>

<file path=xl/worksheets/sheet3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3.3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Hovedstol</x:v>
      </x:c>
      <x:c r="C7" s="9" t="n">
        <x:v>100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Årlig kuponrente</x:v>
      </x:c>
      <x:c r="C8" s="12" t="n">
        <x:v>0.03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 t="str">
        <x:v>Markedskurs K</x:v>
      </x:c>
      <x:c r="C9" s="9" t="n">
        <x:v>99.2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34" customHeight="1">
      <x:c r="A12" s="2"/>
      <x:c r="B12" s="20" t="str">
        <x:v>År</x:v>
      </x:c>
      <x:c r="C12" s="20" t="str">
        <x:v>Spotrente</x:v>
      </x:c>
      <x:c r="D12" s="20" t="str">
        <x:v>Diskonteringsfaktor</x:v>
      </x:c>
      <x:c r="E12" s="20" t="str">
        <x:v>Kupon</x:v>
      </x:c>
      <x:c r="F12" s="20" t="str">
        <x:v>Hovedstol</x:v>
      </x:c>
      <x:c r="G12" s="20" t="str">
        <x:v>Betaling i alt</x:v>
      </x:c>
      <x:c r="H12" s="20" t="str">
        <x:v>Nutidsværdi</x:v>
      </x:c>
      <x:c r="I12" s="2"/>
    </x:row>
    <x:row r="13" ht="24" customHeight="1">
      <x:c r="A13" s="2"/>
      <x:c r="B13" s="2" t="n">
        <x:v>1</x:v>
      </x:c>
      <x:c r="C13" s="12" t="n">
        <x:v>0.02</x:v>
      </x:c>
      <x:c r="D13" s="22" t="n">
        <x:f>1/(1+C13)^B13</x:f>
        <x:v>0.9803921568627451</x:v>
      </x:c>
      <x:c r="E13" s="23" t="n">
        <x:f>$C$7*$C$8</x:f>
        <x:v>3</x:v>
      </x:c>
      <x:c r="F13" s="23" t="n">
        <x:f>0</x:f>
        <x:v>0</x:v>
      </x:c>
      <x:c r="G13" s="23" t="n">
        <x:f>SUM(E13:F13)</x:f>
        <x:v>3</x:v>
      </x:c>
      <x:c r="H13" s="23" t="n">
        <x:f>G13*D13</x:f>
        <x:v>2.941176470588235</x:v>
      </x:c>
      <x:c r="I13" s="2"/>
    </x:row>
    <x:row r="14" ht="24" customHeight="1">
      <x:c r="A14" s="2"/>
      <x:c r="B14" s="2" t="n">
        <x:v>2</x:v>
      </x:c>
      <x:c r="C14" s="12" t="n">
        <x:v>0.024</x:v>
      </x:c>
      <x:c r="D14" s="22" t="n">
        <x:f>1/(1+C14)^B14</x:f>
        <x:v>0.95367431640625</x:v>
      </x:c>
      <x:c r="E14" s="23" t="n">
        <x:f>$C$7*$C$8</x:f>
        <x:v>3</x:v>
      </x:c>
      <x:c r="F14" s="23" t="n">
        <x:f>0</x:f>
        <x:v>0</x:v>
      </x:c>
      <x:c r="G14" s="23" t="n">
        <x:f>SUM(E14:F14)</x:f>
        <x:v>3</x:v>
      </x:c>
      <x:c r="H14" s="23" t="n">
        <x:f>G14*D14</x:f>
        <x:v>2.86102294921875</x:v>
      </x:c>
      <x:c r="I14" s="2"/>
    </x:row>
    <x:row r="15" ht="24" customHeight="1">
      <x:c r="A15" s="2"/>
      <x:c r="B15" s="2" t="n">
        <x:v>3</x:v>
      </x:c>
      <x:c r="C15" s="12" t="n">
        <x:v>0.028</x:v>
      </x:c>
      <x:c r="D15" s="22" t="n">
        <x:f>1/(1+C15)^B15</x:f>
        <x:v>0.9204933514458933</x:v>
      </x:c>
      <x:c r="E15" s="23" t="n">
        <x:f>$C$7*$C$8</x:f>
        <x:v>3</x:v>
      </x:c>
      <x:c r="F15" s="23" t="n">
        <x:f>0</x:f>
        <x:v>0</x:v>
      </x:c>
      <x:c r="G15" s="23" t="n">
        <x:f>SUM(E15:F15)</x:f>
        <x:v>3</x:v>
      </x:c>
      <x:c r="H15" s="23" t="n">
        <x:f>G15*D15</x:f>
        <x:v>2.76148005433768</x:v>
      </x:c>
      <x:c r="I15" s="2"/>
    </x:row>
    <x:row r="16" ht="24" customHeight="1">
      <x:c r="A16" s="2"/>
      <x:c r="B16" s="2" t="n">
        <x:v>4</x:v>
      </x:c>
      <x:c r="C16" s="12" t="n">
        <x:v>0.03</x:v>
      </x:c>
      <x:c r="D16" s="22" t="n">
        <x:f>1/(1+C16)^B16</x:f>
        <x:v>0.8884870479156888</x:v>
      </x:c>
      <x:c r="E16" s="23" t="n">
        <x:f>$C$7*$C$8</x:f>
        <x:v>3</x:v>
      </x:c>
      <x:c r="F16" s="23" t="n">
        <x:f>$C$7</x:f>
        <x:v>100</x:v>
      </x:c>
      <x:c r="G16" s="23" t="n">
        <x:f>SUM(E16:F16)</x:f>
        <x:v>103</x:v>
      </x:c>
      <x:c r="H16" s="23" t="n">
        <x:f>G16*D16</x:f>
        <x:v>91.51416593531594</x:v>
      </x:c>
      <x:c r="I16" s="2"/>
    </x:row>
    <x:row r="17" ht="24" customHeight="1">
      <x:c r="A17" s="2"/>
      <x:c r="B17" s="26" t="str">
        <x:v>(a) Teoretisk kurs K*</x:v>
      </x:c>
      <x:c r="C17" s="26"/>
      <x:c r="D17" s="26"/>
      <x:c r="E17" s="26"/>
      <x:c r="F17" s="26"/>
      <x:c r="G17" s="26"/>
      <x:c r="H17" s="27" t="n">
        <x:f>SUM(H13:H16)</x:f>
        <x:v>100.07784540946061</x:v>
      </x:c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2" t="str">
        <x:v>(b) K* minus markedskurs</x:v>
      </x:c>
      <x:c r="C20" s="23" t="n">
        <x:f>H17-C9</x:f>
        <x:v>0.8778454094606047</x:v>
      </x:c>
      <x:c r="D20" s="2"/>
      <x:c r="E20" s="2"/>
      <x:c r="F20" s="2"/>
      <x:c r="G20" s="2"/>
      <x:c r="H20" s="2"/>
      <x:c r="I20" s="2"/>
    </x:row>
    <x:row r="21" ht="24" customHeight="1">
      <x:c r="A21" s="2"/>
      <x:c r="B21" s="2" t="str">
        <x:v>Pris relativt til swapkurven</x:v>
      </x:c>
      <x:c r="C21" s="37" t="str">
        <x:f>IF(ABS(C20)&lt;0.0000001,"På kurven",IF(C20&gt;0,"Billig","Dyr"))</x:f>
        <x:v>Billig</x:v>
      </x:c>
      <x:c r="D21" s="2"/>
      <x:c r="E21" s="2"/>
      <x:c r="F21" s="2"/>
      <x:c r="G21" s="2"/>
      <x:c r="H21" s="2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/>
      <x:c r="B23" s="31" t="str">
        <x:v>Positiv forskel: markedet kræver mindre betaling end værdien beregnet på swapkurven.</x:v>
      </x:c>
      <x:c r="C23" s="31"/>
      <x:c r="D23" s="31"/>
      <x:c r="E23" s="31"/>
      <x:c r="F23" s="31"/>
      <x:c r="G23" s="31"/>
      <x:c r="H23" s="31"/>
      <x:c r="I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4" customHeight="1">
      <x:c r="A25" s="2"/>
      <x:c r="B25" s="6" t="str">
        <x:v>(c) Et positivt gab er ikke i sig selv et sikkert godt køb</x:v>
      </x:c>
      <x:c r="C25" s="6"/>
      <x:c r="D25" s="6"/>
      <x:c r="E25" s="6"/>
      <x:c r="F25" s="6"/>
      <x:c r="G25" s="6"/>
      <x:c r="H25" s="6"/>
      <x:c r="I25" s="2"/>
    </x:row>
    <x:row r="26" ht="24" customHeight="1">
      <x:c r="A26" s="2"/>
      <x:c r="B26" s="31" t="str">
        <x:v>Gabet kan kompensere for kreditrisiko, lav likviditet eller særlige rettigheder og afspejle modelusikkerhed.</x:v>
      </x:c>
      <x:c r="C26" s="31"/>
      <x:c r="D26" s="31"/>
      <x:c r="E26" s="31"/>
      <x:c r="F26" s="31"/>
      <x:c r="G26" s="31"/>
      <x:c r="H26" s="31"/>
      <x:c r="I26" s="2"/>
    </x:row>
    <x:row r="27" ht="24" customHeight="1">
      <x:c r="A27" s="2"/>
      <x:c r="B27" s="31" t="str">
        <x:v>Kapitel 7 vurderer relativ værdi med en referencekurve og et spænd, bl.a. OAS ved konverterbare obligationer.</x:v>
      </x:c>
      <x:c r="C27" s="31"/>
      <x:c r="D27" s="31"/>
      <x:c r="E27" s="31"/>
      <x:c r="F27" s="31"/>
      <x:c r="G27" s="31"/>
      <x:c r="H27" s="31"/>
      <x:c r="I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2"/>
      <x:c r="B29" s="6" t="str">
        <x:v>(d) Statsobligationer kan handles over værdien på swapkurven</x:v>
      </x:c>
      <x:c r="C29" s="6"/>
      <x:c r="D29" s="6"/>
      <x:c r="E29" s="6"/>
      <x:c r="F29" s="6"/>
      <x:c r="G29" s="6"/>
      <x:c r="H29" s="6"/>
      <x:c r="I29" s="2"/>
    </x:row>
    <x:row r="30" ht="24" customHeight="1">
      <x:c r="A30" s="2"/>
      <x:c r="B30" s="31" t="str">
        <x:v>Investorer kan betale ekstra for sikkerhed, likviditet og regulatoriske egenskaber. Det sænker afkastkravet.</x:v>
      </x:c>
      <x:c r="C30" s="31"/>
      <x:c r="D30" s="31"/>
      <x:c r="E30" s="31"/>
      <x:c r="F30" s="31"/>
      <x:c r="G30" s="31"/>
      <x:c r="H30" s="31"/>
      <x:c r="I30" s="2"/>
    </x:row>
    <x:row r="31" ht="24" customHeight="1">
      <x:c r="A31" s="2"/>
      <x:c r="B31" s="31" t="str">
        <x:v>Swapmarkedet giver flere løbetider og en fælles reference for prisning og afdækning.</x:v>
      </x:c>
      <x:c r="C31" s="31"/>
      <x:c r="D31" s="31"/>
      <x:c r="E31" s="31"/>
      <x:c r="F31" s="31"/>
      <x:c r="G31" s="31"/>
      <x:c r="H31" s="31"/>
      <x:c r="I31" s="2"/>
    </x:row>
    <x:row r="32" ht="24" customHeight="1">
      <x:c r="A32" s="2"/>
      <x:c r="B32" s="31" t="str">
        <x:v>Statskurven har færre danske serier og særlige præmier. Valg af reference ændrer fortolkningen af gabet.</x:v>
      </x:c>
      <x:c r="C32" s="31"/>
      <x:c r="D32" s="31"/>
      <x:c r="E32" s="31"/>
      <x:c r="F32" s="31"/>
      <x:c r="G32" s="31"/>
      <x:c r="H32" s="31"/>
      <x:c r="I32" s="2"/>
    </x:row>
    <x:row r="33" ht="24" customHeight="1">
      <x:c r="A33" s="2"/>
      <x:c r="B33" s="31" t="str">
        <x:v>Ingen vedhængende rente i opgaven: clean og dirty kurs er ens. Alle værdier er pr. 100 nominel.</x:v>
      </x:c>
      <x:c r="C33" s="31"/>
      <x:c r="D33" s="31"/>
      <x:c r="E33" s="31"/>
      <x:c r="F33" s="31"/>
      <x:c r="G33" s="31"/>
      <x:c r="H33" s="31"/>
      <x:c r="I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</x:row>
  </x:sheetData>
  <x:pageMargins left="0.7" right="0.7" top="0.75" bottom="0.75" header="0.3" footer="0.3"/>
  <x:drawing xmlns:r="http://schemas.openxmlformats.org/officeDocument/2006/relationships" r:id="Rbba1667135fe4b96"/>
</x:worksheet>
</file>

<file path=xl/worksheets/sheet4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3.4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Opgavens tre kurvepunkter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4" customHeight="1">
      <x:c r="A8" s="2"/>
      <x:c r="B8" s="20" t="str">
        <x:v>Løbetid, år</x:v>
      </x:c>
      <x:c r="C8" s="20" t="str">
        <x:v>Rente</x:v>
      </x:c>
      <x:c r="D8" s="2"/>
      <x:c r="E8" s="2"/>
      <x:c r="F8" s="2"/>
      <x:c r="G8" s="2"/>
      <x:c r="H8" s="2"/>
      <x:c r="I8" s="2"/>
    </x:row>
    <x:row r="9" ht="24" customHeight="1">
      <x:c r="A9" s="2"/>
      <x:c r="B9" s="38" t="n">
        <x:v>0.25</x:v>
      </x:c>
      <x:c r="C9" s="12" t="n">
        <x:v>0.038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38" t="n">
        <x:v>2</x:v>
      </x:c>
      <x:c r="C10" s="12" t="n">
        <x:v>0.03</x:v>
      </x:c>
      <x:c r="D10" s="2"/>
      <x:c r="E10" s="2"/>
      <x:c r="F10" s="2"/>
      <x:c r="G10" s="2"/>
      <x:c r="H10" s="2"/>
      <x:c r="I10" s="2"/>
    </x:row>
    <x:row r="11" ht="24" customHeight="1">
      <x:c r="A11" s="2"/>
      <x:c r="B11" s="38" t="n">
        <x:v>30</x:v>
      </x:c>
      <x:c r="C11" s="12" t="n">
        <x:v>0.034</x:v>
      </x:c>
      <x:c r="D11" s="2"/>
      <x:c r="E11" s="2"/>
      <x:c r="F11" s="2"/>
      <x:c r="G11" s="2"/>
      <x:c r="H11" s="2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2" t="str">
        <x:v>Kort ende: ændring, procentpoint</x:v>
      </x:c>
      <x:c r="C13" s="23" t="n">
        <x:f>(C10-C9)*100</x:f>
        <x:v>-0.8</x:v>
      </x:c>
      <x:c r="D13" s="2"/>
      <x:c r="E13" s="2"/>
      <x:c r="F13" s="2"/>
      <x:c r="G13" s="2"/>
      <x:c r="H13" s="2"/>
      <x:c r="I13" s="2"/>
    </x:row>
    <x:row r="14" ht="24" customHeight="1">
      <x:c r="A14" s="2"/>
      <x:c r="B14" s="2" t="str">
        <x:v>Lang ende: ændring, procentpoint</x:v>
      </x:c>
      <x:c r="C14" s="23" t="n">
        <x:f>(C11-C10)*100</x:f>
        <x:v>0.40000000000000036</x:v>
      </x:c>
      <x:c r="D14" s="2"/>
      <x:c r="E14" s="2"/>
      <x:c r="F14" s="2"/>
      <x:c r="G14" s="2"/>
      <x:c r="H14" s="2"/>
      <x:c r="I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4" customHeight="1">
      <x:c r="A16" s="2"/>
      <x:c r="B16" s="31" t="str">
        <x:v>Forklaringerne nedenfor gælder opgavens oprindelige kurve.</x:v>
      </x:c>
      <x:c r="C16" s="31"/>
      <x:c r="D16" s="31"/>
      <x:c r="E16" s="31"/>
      <x:c r="F16" s="31"/>
      <x:c r="G16" s="31"/>
      <x:c r="H16" s="31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4" customHeight="1">
      <x:c r="A18" s="2"/>
      <x:c r="B18" s="6" t="str">
        <x:v>(a) Forventninger til de korte renter</x:v>
      </x:c>
      <x:c r="C18" s="6"/>
      <x:c r="D18" s="6"/>
      <x:c r="E18" s="6"/>
      <x:c r="F18" s="6"/>
      <x:c r="G18" s="6"/>
      <x:c r="H18" s="6"/>
      <x:c r="I18" s="2"/>
    </x:row>
    <x:row r="19" ht="24" customHeight="1">
      <x:c r="A19" s="2"/>
      <x:c r="B19" s="31" t="str">
        <x:v>Under forventningshypotesen peger den inverse korte ende på forventede fald i fremtidige korte renter.</x:v>
      </x:c>
      <x:c r="C19" s="31"/>
      <x:c r="D19" s="31"/>
      <x:c r="E19" s="31"/>
      <x:c r="F19" s="31"/>
      <x:c r="G19" s="31"/>
      <x:c r="H19" s="31"/>
      <x:c r="I19" s="2"/>
    </x:row>
    <x:row r="20" ht="24" customHeight="1">
      <x:c r="A20" s="2"/>
      <x:c r="B20" s="31" t="str">
        <x:v>Det kan passe med forventede rentenedsættelser ved lavere inflation eller svagere konjunkturer.</x:v>
      </x:c>
      <x:c r="C20" s="31"/>
      <x:c r="D20" s="31"/>
      <x:c r="E20" s="31"/>
      <x:c r="F20" s="31"/>
      <x:c r="G20" s="31"/>
      <x:c r="H20" s="31"/>
      <x:c r="I20" s="2"/>
    </x:row>
    <x:row r="21" ht="24" customHeight="1">
      <x:c r="A21" s="2"/>
      <x:c r="B21" s="31" t="str">
        <x:v>Kurven er ikke en sikker prognose: risikopræmier og efterspørgsel kan også påvirke formen.</x:v>
      </x:c>
      <x:c r="C21" s="31"/>
      <x:c r="D21" s="31"/>
      <x:c r="E21" s="31"/>
      <x:c r="F21" s="31"/>
      <x:c r="G21" s="31"/>
      <x:c r="H21" s="31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/>
      <x:c r="B23" s="6" t="str">
        <x:v>(b) Løbetidspræference og (c) markedssegmentering</x:v>
      </x:c>
      <x:c r="C23" s="6"/>
      <x:c r="D23" s="6"/>
      <x:c r="E23" s="6"/>
      <x:c r="F23" s="6"/>
      <x:c r="G23" s="6"/>
      <x:c r="H23" s="6"/>
      <x:c r="I23" s="2"/>
    </x:row>
    <x:row r="24" ht="24" customHeight="1">
      <x:c r="A24" s="2"/>
      <x:c r="B24" s="31" t="str">
        <x:v>(b) Lange obligationer er mere kursfølsomme. En løbetidspræmie kan derfor løfte den lange ende.</x:v>
      </x:c>
      <x:c r="C24" s="31"/>
      <x:c r="D24" s="31"/>
      <x:c r="E24" s="31"/>
      <x:c r="F24" s="31"/>
      <x:c r="G24" s="31"/>
      <x:c r="H24" s="31"/>
      <x:c r="I24" s="2"/>
    </x:row>
    <x:row r="25" ht="24" customHeight="1">
      <x:c r="A25" s="2"/>
      <x:c r="B25" s="31" t="str">
        <x:v>(c) Pensionskassers større efterspørgsel løfter priserne på lange obligationer og sænker deres renter, alt andet lige.</x:v>
      </x:c>
      <x:c r="C25" s="31"/>
      <x:c r="D25" s="31"/>
      <x:c r="E25" s="31"/>
      <x:c r="F25" s="31"/>
      <x:c r="G25" s="31"/>
      <x:c r="H25" s="31"/>
      <x:c r="I25" s="2"/>
    </x:row>
    <x:row r="26" ht="24" customHeight="1">
      <x:c r="A26" s="2"/>
      <x:c r="B26" s="31" t="str">
        <x:v>Det er markedssegmentering: behov for bestemte løbetider påvirker netop disse dele af kurven.</x:v>
      </x:c>
      <x:c r="C26" s="31"/>
      <x:c r="D26" s="31"/>
      <x:c r="E26" s="31"/>
      <x:c r="F26" s="31"/>
      <x:c r="G26" s="31"/>
      <x:c r="H26" s="31"/>
      <x:c r="I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4" customHeight="1">
      <x:c r="A28" s="2"/>
      <x:c r="B28" s="6" t="str">
        <x:v>(d) Flere mekanismer kan virke samtidig</x:v>
      </x:c>
      <x:c r="C28" s="6"/>
      <x:c r="D28" s="6"/>
      <x:c r="E28" s="6"/>
      <x:c r="F28" s="6"/>
      <x:c r="G28" s="6"/>
      <x:c r="H28" s="6"/>
      <x:c r="I28" s="2"/>
    </x:row>
    <x:row r="29" ht="24" customHeight="1">
      <x:c r="A29" s="2"/>
      <x:c r="B29" s="31" t="str">
        <x:v>Forventninger, løbetidspræmier og segmentering kan forklare forskellige dele af samme kurve.</x:v>
      </x:c>
      <x:c r="C29" s="31"/>
      <x:c r="D29" s="31"/>
      <x:c r="E29" s="31"/>
      <x:c r="F29" s="31"/>
      <x:c r="G29" s="31"/>
      <x:c r="H29" s="31"/>
      <x:c r="I29" s="2"/>
    </x:row>
    <x:row r="30" ht="24" customHeight="1">
      <x:c r="A30" s="2"/>
      <x:c r="B30" s="31" t="str">
        <x:v>Renterne behøver derfor ikke flytte sig lige meget. Et parallelt skift er kun ét muligt scenarie.</x:v>
      </x:c>
      <x:c r="C30" s="31"/>
      <x:c r="D30" s="31"/>
      <x:c r="E30" s="31"/>
      <x:c r="F30" s="31"/>
      <x:c r="G30" s="31"/>
      <x:c r="H30" s="31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4" customHeight="1">
      <x:c r="A45" s="2"/>
      <x:c r="B45" s="31" t="str">
        <x:v>Grafen viser kun de tre oplyste punkter. Renterne mellem punkterne er ikke oplyst.</x:v>
      </x:c>
      <x:c r="C45" s="31"/>
      <x:c r="D45" s="31"/>
      <x:c r="E45" s="31"/>
      <x:c r="F45" s="31"/>
      <x:c r="G45" s="31"/>
      <x:c r="H45" s="31"/>
      <x:c r="I45" s="2"/>
    </x:row>
  </x:sheetData>
  <x:pageMargins left="0.7" right="0.7" top="0.75" bottom="0.75" header="0.3" footer="0.3"/>
  <x:drawing xmlns:r="http://schemas.openxmlformats.org/officeDocument/2006/relationships" r:id="Rb7011908e3e34f19"/>
</x:worksheet>
</file>

<file path=xl/worksheets/sheet5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3.5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Fast rentetillæg, basispunkter</x:v>
      </x:c>
      <x:c r="C7" s="40" t="n">
        <x:v>45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Markedskurs</x:v>
      </x:c>
      <x:c r="C8" s="9" t="n">
        <x:v>99.5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24" customHeight="1">
      <x:c r="A10" s="2"/>
      <x:c r="B10" s="2" t="str">
        <x:v>(a) Tillæg, procentpoint</x:v>
      </x:c>
      <x:c r="C10" s="41" t="n">
        <x:f>C7/100</x:f>
        <x:v>0.45</x:v>
      </x:c>
      <x:c r="D10" s="2"/>
      <x:c r="E10" s="2"/>
      <x:c r="F10" s="2"/>
      <x:c r="G10" s="2"/>
      <x:c r="H10" s="2"/>
      <x:c r="I10" s="2"/>
    </x:row>
    <x:row r="11" ht="24" customHeight="1">
      <x:c r="A11" s="2"/>
      <x:c r="B11" s="2" t="str">
        <x:v>Tillæg som rentesats</x:v>
      </x:c>
      <x:c r="C11" s="42" t="n">
        <x:f>C7/10000</x:f>
        <x:v>0.0045</x:v>
      </x:c>
      <x:c r="D11" s="2"/>
      <x:c r="E11" s="2"/>
      <x:c r="F11" s="2"/>
      <x:c r="G11" s="2"/>
      <x:c r="H11" s="2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31" t="str">
        <x:v>100 basispunkter = 1 procentpoint. Tillægget lægges til CIBOR 6M i kuponformlen.</x:v>
      </x:c>
      <x:c r="C13" s="31"/>
      <x:c r="D13" s="31"/>
      <x:c r="E13" s="31"/>
      <x:c r="F13" s="31"/>
      <x:c r="G13" s="31"/>
      <x:c r="H13" s="31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4" customHeight="1">
      <x:c r="A15" s="2"/>
      <x:c r="B15" s="6" t="str">
        <x:v>(b) Fejlen i notatet</x:v>
      </x:c>
      <x:c r="C15" s="6"/>
      <x:c r="D15" s="6"/>
      <x:c r="E15" s="6"/>
      <x:c r="F15" s="6"/>
      <x:c r="G15" s="6"/>
      <x:c r="H15" s="6"/>
      <x:c r="I15" s="2"/>
    </x:row>
    <x:row r="16" ht="24" customHeight="1">
      <x:c r="A16" s="2"/>
      <x:c r="B16" s="31" t="str">
        <x:v>De 45 basispunkter er et fast kontrakttillæg. Det er dette tillæg, der ligger fast i kuponformlen.</x:v>
      </x:c>
      <x:c r="C16" s="31"/>
      <x:c r="D16" s="31"/>
      <x:c r="E16" s="31"/>
      <x:c r="F16" s="31"/>
      <x:c r="G16" s="31"/>
      <x:c r="H16" s="31"/>
      <x:c r="I16" s="2"/>
    </x:row>
    <x:row r="17" ht="24" customHeight="1">
      <x:c r="A17" s="2"/>
      <x:c r="B17" s="31" t="str">
        <x:v>Spændet er markedets aktuelle afkastkrav relativt til en angivet referencekurve. Det kan ændre sig med kursen.</x:v>
      </x:c>
      <x:c r="C17" s="31"/>
      <x:c r="D17" s="31"/>
      <x:c r="E17" s="31"/>
      <x:c r="F17" s="31"/>
      <x:c r="G17" s="31"/>
      <x:c r="H17" s="31"/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6" t="str">
        <x:v>(c) Kurs under pari</x:v>
      </x:c>
      <x:c r="C19" s="6"/>
      <x:c r="D19" s="6"/>
      <x:c r="E19" s="6"/>
      <x:c r="F19" s="6"/>
      <x:c r="G19" s="6"/>
      <x:c r="H19" s="6"/>
      <x:c r="I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/>
      <x:c r="B21" s="2" t="str">
        <x:v>Spænd relativt til tillægget</x:v>
      </x:c>
      <x:c r="C21" s="37" t="str">
        <x:f>IF(C8&lt;100,"Over",IF(C8&gt;100,"Under","Lig med"))</x:f>
        <x:v>Over</x:v>
      </x:c>
      <x:c r="D21" s="2"/>
      <x:c r="E21" s="2"/>
      <x:c r="F21" s="2"/>
      <x:c r="G21" s="2"/>
      <x:c r="H21" s="2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/>
      <x:c r="B23" s="31" t="str">
        <x:v>Med CIBOR 6M som relevant reference og ens konventioner giver køb under 100 en ekstra kursgevinst.</x:v>
      </x:c>
      <x:c r="C23" s="31"/>
      <x:c r="D23" s="31"/>
      <x:c r="E23" s="31"/>
      <x:c r="F23" s="31"/>
      <x:c r="G23" s="31"/>
      <x:c r="H23" s="31"/>
      <x:c r="I23" s="2"/>
    </x:row>
    <x:row r="24" ht="24" customHeight="1">
      <x:c r="A24" s="2"/>
      <x:c r="B24" s="31" t="str">
        <x:v>Med opgavens tal får investor tillægget og en kursgevinst frem mod indfrielse til 100. Spændet er derfor over 45 bp.</x:v>
      </x:c>
      <x:c r="C24" s="31"/>
      <x:c r="D24" s="31"/>
      <x:c r="E24" s="31"/>
      <x:c r="F24" s="31"/>
      <x:c r="G24" s="31"/>
      <x:c r="H24" s="31"/>
      <x:c r="I24" s="2"/>
    </x:row>
    <x:row r="25" ht="24" customHeight="1">
      <x:c r="A25" s="2"/>
      <x:c r="B25" s="31" t="str">
        <x:v>Retningen i C21 følger kursen under disse forenklinger. Et præcist spænd kræver flere betalings- og kurvedata.</x:v>
      </x:c>
      <x:c r="C25" s="31"/>
      <x:c r="D25" s="31"/>
      <x:c r="E25" s="31"/>
      <x:c r="F25" s="31"/>
      <x:c r="G25" s="31"/>
      <x:c r="H25" s="31"/>
      <x:c r="I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4" customHeight="1">
      <x:c r="A27" s="2"/>
      <x:c r="B27" s="6" t="str">
        <x:v>(d) Fastlæggelse af rentetillæg ved udstedelse</x:v>
      </x:c>
      <x:c r="C27" s="6"/>
      <x:c r="D27" s="6"/>
      <x:c r="E27" s="6"/>
      <x:c r="F27" s="6"/>
      <x:c r="G27" s="6"/>
      <x:c r="H27" s="6"/>
      <x:c r="I27" s="2"/>
    </x:row>
    <x:row r="28" ht="24" customHeight="1">
      <x:c r="A28" s="2"/>
      <x:c r="B28" s="31" t="str">
        <x:v>1. Vælg referencekurven, så kompensationen måles på et tydeligt grundlag.</x:v>
      </x:c>
      <x:c r="C28" s="31"/>
      <x:c r="D28" s="31"/>
      <x:c r="E28" s="31"/>
      <x:c r="F28" s="31"/>
      <x:c r="G28" s="31"/>
      <x:c r="H28" s="31"/>
      <x:c r="I28" s="2"/>
    </x:row>
    <x:row r="29" ht="24" customHeight="1">
      <x:c r="A29" s="2"/>
      <x:c r="B29" s="31" t="str">
        <x:v>2. Fastlæg det ønskede spænd ud fra bl.a. kredit, likviditet og øvrige placeringsmuligheder.</x:v>
      </x:c>
      <x:c r="C29" s="31"/>
      <x:c r="D29" s="31"/>
      <x:c r="E29" s="31"/>
      <x:c r="F29" s="31"/>
      <x:c r="G29" s="31"/>
      <x:c r="H29" s="31"/>
      <x:c r="I29" s="2"/>
    </x:row>
    <x:row r="30" ht="24" customHeight="1">
      <x:c r="A30" s="2"/>
      <x:c r="B30" s="31" t="str">
        <x:v>3. Oversæt spændet til et kuponvilkår med den valgte fixing-reference.</x:v>
      </x:c>
      <x:c r="C30" s="31"/>
      <x:c r="D30" s="31"/>
      <x:c r="E30" s="31"/>
      <x:c r="F30" s="31"/>
      <x:c r="G30" s="31"/>
      <x:c r="H30" s="31"/>
      <x:c r="I30" s="2"/>
    </x:row>
    <x:row r="31" ht="24" customHeight="1">
      <x:c r="A31" s="2"/>
      <x:c r="B31" s="31" t="str">
        <x:v>Tag højde for auktionskurs, afdrag og rentekonventioner. Et ønsket spænd er ikke automatisk samme rentetillæg.</x:v>
      </x:c>
      <x:c r="C31" s="31"/>
      <x:c r="D31" s="31"/>
      <x:c r="E31" s="31"/>
      <x:c r="F31" s="31"/>
      <x:c r="G31" s="31"/>
      <x:c r="H31" s="31"/>
      <x:c r="I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3.6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4" customHeight="1">
      <x:c r="A8" s="2"/>
      <x:c r="B8" s="20" t="str">
        <x:v>År</x:v>
      </x:c>
      <x:c r="C8" s="20" t="str">
        <x:v>Spotrente</x:v>
      </x:c>
      <x:c r="D8" s="20" t="str">
        <x:v>A: betaling</x:v>
      </x:c>
      <x:c r="E8" s="20" t="str">
        <x:v>B: betaling</x:v>
      </x:c>
      <x:c r="F8" s="2"/>
      <x:c r="G8" s="2"/>
      <x:c r="H8" s="2"/>
      <x:c r="I8" s="2"/>
    </x:row>
    <x:row r="9" ht="24" customHeight="1">
      <x:c r="A9" s="2"/>
      <x:c r="B9" s="2" t="n">
        <x:v>1</x:v>
      </x:c>
      <x:c r="C9" s="12" t="n">
        <x:v>0.01</x:v>
      </x:c>
      <x:c r="D9" s="9" t="n">
        <x:v>0</x:v>
      </x:c>
      <x:c r="E9" s="9" t="n">
        <x:v>50.5</x:v>
      </x:c>
      <x:c r="F9" s="2"/>
      <x:c r="G9" s="2"/>
      <x:c r="H9" s="2"/>
      <x:c r="I9" s="2"/>
    </x:row>
    <x:row r="10" ht="24" customHeight="1">
      <x:c r="A10" s="2"/>
      <x:c r="B10" s="2" t="n">
        <x:v>2</x:v>
      </x:c>
      <x:c r="C10" s="12" t="n">
        <x:v>0.02</x:v>
      </x:c>
      <x:c r="D10" s="9" t="n">
        <x:v>104.04</x:v>
      </x:c>
      <x:c r="E10" s="9" t="n">
        <x:v>0</x:v>
      </x:c>
      <x:c r="F10" s="2"/>
      <x:c r="G10" s="2"/>
      <x:c r="H10" s="2"/>
      <x:c r="I10" s="2"/>
    </x:row>
    <x:row r="11" ht="24" customHeight="1">
      <x:c r="A11" s="2"/>
      <x:c r="B11" s="2" t="n">
        <x:v>3</x:v>
      </x:c>
      <x:c r="C11" s="12" t="n">
        <x:v>0.03</x:v>
      </x:c>
      <x:c r="D11" s="9" t="n">
        <x:v>0</x:v>
      </x:c>
      <x:c r="E11" s="9" t="n">
        <x:v>54.64</x:v>
      </x:c>
      <x:c r="F11" s="2"/>
      <x:c r="G11" s="2"/>
      <x:c r="H11" s="2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2" t="str">
        <x:v>(c) Ny 3-årig spotrente</x:v>
      </x:c>
      <x:c r="C13" s="12" t="n">
        <x:v>0.04</x:v>
      </x:c>
      <x:c r="D13" s="2"/>
      <x:c r="E13" s="2"/>
      <x:c r="F13" s="2"/>
      <x:c r="G13" s="2"/>
      <x:c r="H13" s="2"/>
      <x:c r="I13" s="2"/>
    </x:row>
    <x:row r="14" ht="24" customHeight="1">
      <x:c r="A14" s="2"/>
      <x:c r="B14" s="2" t="str">
        <x:v>(d) Parallelt skift</x:v>
      </x:c>
      <x:c r="C14" s="12" t="n">
        <x:v>0.01</x:v>
      </x:c>
      <x:c r="D14" s="2"/>
      <x:c r="E14" s="2"/>
      <x:c r="F14" s="2"/>
      <x:c r="G14" s="2"/>
      <x:c r="H14" s="2"/>
      <x:c r="I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4" customHeight="1">
      <x:c r="A16" s="2"/>
      <x:c r="B16" s="6" t="str">
        <x:v>(a–b) Nutidsværdi og gennemsnitlig betalingstid</x:v>
      </x:c>
      <x:c r="C16" s="6"/>
      <x:c r="D16" s="6"/>
      <x:c r="E16" s="6"/>
      <x:c r="F16" s="6"/>
      <x:c r="G16" s="6"/>
      <x:c r="H16" s="6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34" customHeight="1">
      <x:c r="A18" s="2"/>
      <x:c r="B18" s="20" t="str">
        <x:v>År</x:v>
      </x:c>
      <x:c r="C18" s="20" t="str">
        <x:v>Diskonteringsfaktor</x:v>
      </x:c>
      <x:c r="D18" s="20" t="str">
        <x:v>A: PV</x:v>
      </x:c>
      <x:c r="E18" s="20" t="str">
        <x:v>B: PV</x:v>
      </x:c>
      <x:c r="F18" s="20" t="str">
        <x:v>A: PV-vægt</x:v>
      </x:c>
      <x:c r="G18" s="20" t="str">
        <x:v>B: PV-vægt</x:v>
      </x:c>
      <x:c r="H18" s="2"/>
      <x:c r="I18" s="2"/>
    </x:row>
    <x:row r="19" ht="24" customHeight="1">
      <x:c r="A19" s="2"/>
      <x:c r="B19" s="35" t="n">
        <x:f>B9</x:f>
        <x:v>1</x:v>
      </x:c>
      <x:c r="C19" s="22" t="n">
        <x:f>1/(1+C9)^B9</x:f>
        <x:v>0.9900990099009901</x:v>
      </x:c>
      <x:c r="D19" s="22" t="n">
        <x:f>D9*C19</x:f>
        <x:v>0</x:v>
      </x:c>
      <x:c r="E19" s="22" t="n">
        <x:f>E9*C19</x:f>
        <x:v>50</x:v>
      </x:c>
      <x:c r="F19" s="42" t="n">
        <x:f>D19/$D$22</x:f>
        <x:v>0</x:v>
      </x:c>
      <x:c r="G19" s="42" t="n">
        <x:f>E19/$E$22</x:f>
        <x:v>0.49998329922256735</x:v>
      </x:c>
      <x:c r="H19" s="2"/>
      <x:c r="I19" s="2"/>
    </x:row>
    <x:row r="20" ht="24" customHeight="1">
      <x:c r="A20" s="2"/>
      <x:c r="B20" s="35" t="n">
        <x:f>B10</x:f>
        <x:v>2</x:v>
      </x:c>
      <x:c r="C20" s="22" t="n">
        <x:f>1/(1+C10)^B10</x:f>
        <x:v>0.9611687812379854</x:v>
      </x:c>
      <x:c r="D20" s="22" t="n">
        <x:f>D10*C20</x:f>
        <x:v>100.00000000000001</x:v>
      </x:c>
      <x:c r="E20" s="22" t="n">
        <x:f>E10*C20</x:f>
        <x:v>0</x:v>
      </x:c>
      <x:c r="F20" s="42" t="n">
        <x:f>D20/$D$22</x:f>
        <x:v>1</x:v>
      </x:c>
      <x:c r="G20" s="42" t="n">
        <x:f>E20/$E$22</x:f>
        <x:v>0</x:v>
      </x:c>
      <x:c r="H20" s="2"/>
      <x:c r="I20" s="2"/>
    </x:row>
    <x:row r="21" ht="24" customHeight="1">
      <x:c r="A21" s="2"/>
      <x:c r="B21" s="35" t="n">
        <x:f>B11</x:f>
        <x:v>3</x:v>
      </x:c>
      <x:c r="C21" s="22" t="n">
        <x:f>1/(1+C11)^B11</x:f>
        <x:v>0.9151416593531596</x:v>
      </x:c>
      <x:c r="D21" s="22" t="n">
        <x:f>D11*C21</x:f>
        <x:v>0</x:v>
      </x:c>
      <x:c r="E21" s="22" t="n">
        <x:f>E11*C21</x:f>
        <x:v>50.00334026705664</x:v>
      </x:c>
      <x:c r="F21" s="42" t="n">
        <x:f>D21/$D$22</x:f>
        <x:v>0</x:v>
      </x:c>
      <x:c r="G21" s="42" t="n">
        <x:f>E21/$E$22</x:f>
        <x:v>0.5000167007774327</x:v>
      </x:c>
      <x:c r="H21" s="2"/>
      <x:c r="I21" s="2"/>
    </x:row>
    <x:row r="22" ht="24" customHeight="1">
      <x:c r="A22" s="2"/>
      <x:c r="B22" s="26" t="str">
        <x:v>(a) Samlet nutidsværdi</x:v>
      </x:c>
      <x:c r="C22" s="26"/>
      <x:c r="D22" s="45" t="n">
        <x:f>SUM(D19:D21)</x:f>
        <x:v>100.00000000000001</x:v>
      </x:c>
      <x:c r="E22" s="45" t="n">
        <x:f>SUM(E19:E21)</x:f>
        <x:v>100.00334026705664</x:v>
      </x:c>
      <x:c r="F22" s="26"/>
      <x:c r="G22" s="26"/>
      <x:c r="H22" s="2"/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2" t="str">
        <x:v>(b) PV-vægtet tid, år</x:v>
      </x:c>
      <x:c r="C24" s="2"/>
      <x:c r="D24" s="22" t="n">
        <x:f>SUMPRODUCT(B19:B21,F19:F21)</x:f>
        <x:v>2</x:v>
      </x:c>
      <x:c r="E24" s="22" t="n">
        <x:f>SUMPRODUCT(B19:B21,G19:G21)</x:f>
        <x:v>2.0000334015548655</x:v>
      </x:c>
      <x:c r="F24" s="2"/>
      <x:c r="G24" s="2"/>
      <x:c r="H24" s="2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31" t="str">
        <x:v>Gennemsnitlig tid = sum af (år × nutidsværdi) / samlet nutidsværdi.</x:v>
      </x:c>
      <x:c r="C26" s="31"/>
      <x:c r="D26" s="31"/>
      <x:c r="E26" s="31"/>
      <x:c r="F26" s="31"/>
      <x:c r="G26" s="31"/>
      <x:c r="H26" s="31"/>
      <x:c r="I26" s="2"/>
    </x:row>
    <x:row r="27" ht="24" customHeight="1">
      <x:c r="A27" s="2"/>
      <x:c r="B27" s="31" t="str">
        <x:v>Med de oprindelige input afrundes begge værdier til 100,00 og begge betalingstider til 2,00 år.</x:v>
      </x:c>
      <x:c r="C27" s="31"/>
      <x:c r="D27" s="31"/>
      <x:c r="E27" s="31"/>
      <x:c r="F27" s="31"/>
      <x:c r="G27" s="31"/>
      <x:c r="H27" s="31"/>
      <x:c r="I27" s="2"/>
    </x:row>
    <x:row r="28" ht="24" customHeight="1">
      <x:c r="A28" s="2"/>
      <x:c r="B28" s="31" t="str">
        <x:v>B afviger lidt før afrunding, fordi slutbetalingen 54,64 er afrundet. Beregningerne bevarer alle decimaler.</x:v>
      </x:c>
      <x:c r="C28" s="31"/>
      <x:c r="D28" s="31"/>
      <x:c r="E28" s="31"/>
      <x:c r="F28" s="31"/>
      <x:c r="G28" s="31"/>
      <x:c r="H28" s="31"/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6" t="str">
        <x:v>(c–d) Pris hver betaling igen med den ændrede spotrente</x:v>
      </x:c>
      <x:c r="C30" s="6"/>
      <x:c r="D30" s="6"/>
      <x:c r="E30" s="6"/>
      <x:c r="F30" s="6"/>
      <x:c r="G30" s="6"/>
      <x:c r="H30" s="6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34" customHeight="1">
      <x:c r="A32" s="2"/>
      <x:c r="B32" s="20" t="str">
        <x:v>År</x:v>
      </x:c>
      <x:c r="C32" s="20" t="str">
        <x:v>(c) Spotrente</x:v>
      </x:c>
      <x:c r="D32" s="20" t="str">
        <x:v>(c) A: PV</x:v>
      </x:c>
      <x:c r="E32" s="20" t="str">
        <x:v>(c) B: PV</x:v>
      </x:c>
      <x:c r="F32" s="20" t="str">
        <x:v>(d) Spotrente</x:v>
      </x:c>
      <x:c r="G32" s="20" t="str">
        <x:v>(d) A: PV</x:v>
      </x:c>
      <x:c r="H32" s="20" t="str">
        <x:v>(d) B: PV</x:v>
      </x:c>
      <x:c r="I32" s="2"/>
    </x:row>
    <x:row r="33" ht="24" customHeight="1">
      <x:c r="A33" s="2"/>
      <x:c r="B33" s="35" t="n">
        <x:f>B9</x:f>
        <x:v>1</x:v>
      </x:c>
      <x:c r="C33" s="42" t="n">
        <x:f>C9</x:f>
        <x:v>0.01</x:v>
      </x:c>
      <x:c r="D33" s="22" t="n">
        <x:f>D9/(1+C33)^B33</x:f>
        <x:v>0</x:v>
      </x:c>
      <x:c r="E33" s="22" t="n">
        <x:f>E9/(1+C33)^B33</x:f>
        <x:v>50</x:v>
      </x:c>
      <x:c r="F33" s="42" t="n">
        <x:f>C9+$C$14</x:f>
        <x:v>0.02</x:v>
      </x:c>
      <x:c r="G33" s="22" t="n">
        <x:f>D9/(1+F33)^B33</x:f>
        <x:v>0</x:v>
      </x:c>
      <x:c r="H33" s="22" t="n">
        <x:f>E9/(1+F33)^B33</x:f>
        <x:v>49.509803921568626</x:v>
      </x:c>
      <x:c r="I33" s="2"/>
    </x:row>
    <x:row r="34" ht="24" customHeight="1">
      <x:c r="A34" s="2"/>
      <x:c r="B34" s="35" t="n">
        <x:f>B10</x:f>
        <x:v>2</x:v>
      </x:c>
      <x:c r="C34" s="42" t="n">
        <x:f>C10</x:f>
        <x:v>0.02</x:v>
      </x:c>
      <x:c r="D34" s="22" t="n">
        <x:f>D10/(1+C34)^B34</x:f>
        <x:v>100</x:v>
      </x:c>
      <x:c r="E34" s="22" t="n">
        <x:f>E10/(1+C34)^B34</x:f>
        <x:v>0</x:v>
      </x:c>
      <x:c r="F34" s="42" t="n">
        <x:f>C10+$C$14</x:f>
        <x:v>0.03</x:v>
      </x:c>
      <x:c r="G34" s="22" t="n">
        <x:f>D10/(1+F34)^B34</x:f>
        <x:v>98.06767838627582</x:v>
      </x:c>
      <x:c r="H34" s="22" t="n">
        <x:f>E10/(1+F34)^B34</x:f>
        <x:v>0</x:v>
      </x:c>
      <x:c r="I34" s="2"/>
    </x:row>
    <x:row r="35" ht="24" customHeight="1">
      <x:c r="A35" s="2"/>
      <x:c r="B35" s="35" t="n">
        <x:f>B11</x:f>
        <x:v>3</x:v>
      </x:c>
      <x:c r="C35" s="42" t="n">
        <x:f>$C$13</x:f>
        <x:v>0.04</x:v>
      </x:c>
      <x:c r="D35" s="22" t="n">
        <x:f>D11/(1+C35)^B35</x:f>
        <x:v>0</x:v>
      </x:c>
      <x:c r="E35" s="22" t="n">
        <x:f>E11/(1+C35)^B35</x:f>
        <x:v>48.574761037778785</x:v>
      </x:c>
      <x:c r="F35" s="42" t="n">
        <x:f>C11+$C$14</x:f>
        <x:v>0.04</x:v>
      </x:c>
      <x:c r="G35" s="22" t="n">
        <x:f>D11/(1+F35)^B35</x:f>
        <x:v>0</x:v>
      </x:c>
      <x:c r="H35" s="22" t="n">
        <x:f>E11/(1+F35)^B35</x:f>
        <x:v>48.574761037778785</x:v>
      </x:c>
      <x:c r="I35" s="2"/>
    </x:row>
    <x:row r="36" ht="24" customHeight="1">
      <x:c r="A36" s="2"/>
      <x:c r="B36" s="26" t="str">
        <x:v>Ny værdi</x:v>
      </x:c>
      <x:c r="C36" s="26"/>
      <x:c r="D36" s="45" t="n">
        <x:f>SUM(D33:D35)</x:f>
        <x:v>100</x:v>
      </x:c>
      <x:c r="E36" s="45" t="n">
        <x:f>SUM(E33:E35)</x:f>
        <x:v>98.57476103777879</x:v>
      </x:c>
      <x:c r="F36" s="26"/>
      <x:c r="G36" s="45" t="n">
        <x:f>SUM(G33:G35)</x:f>
        <x:v>98.06767838627582</x:v>
      </x:c>
      <x:c r="H36" s="45" t="n">
        <x:f>SUM(H33:H35)</x:f>
        <x:v>98.0845649593474</x:v>
      </x:c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34" customHeight="1">
      <x:c r="A39" s="2"/>
      <x:c r="B39" s="20" t="str">
        <x:v>Kurveskift</x:v>
      </x:c>
      <x:c r="C39" s="20" t="str">
        <x:v>A: værditab</x:v>
      </x:c>
      <x:c r="D39" s="20" t="str">
        <x:v>B: værditab</x:v>
      </x:c>
      <x:c r="E39" s="20" t="str">
        <x:v>A: tab i %</x:v>
      </x:c>
      <x:c r="F39" s="20" t="str">
        <x:v>B: tab i %</x:v>
      </x:c>
      <x:c r="G39" s="2"/>
      <x:c r="H39" s="2"/>
      <x:c r="I39" s="2"/>
    </x:row>
    <x:row r="40" ht="24" customHeight="1">
      <x:c r="A40" s="2"/>
      <x:c r="B40" s="2" t="str">
        <x:v>(c) Kun 3-årig rente</x:v>
      </x:c>
      <x:c r="C40" s="23" t="n">
        <x:f>D22-D36</x:f>
        <x:v>1.4210854715202004e-14</x:v>
      </x:c>
      <x:c r="D40" s="23" t="n">
        <x:f>E22-E36</x:f>
        <x:v>1.428579229277858</x:v>
      </x:c>
      <x:c r="E40" s="42" t="n">
        <x:f>C40/D22</x:f>
        <x:v>1.4210854715202002e-16</x:v>
      </x:c>
      <x:c r="F40" s="42" t="n">
        <x:f>D40/E22</x:f>
        <x:v>0.01428531512510352</x:v>
      </x:c>
      <x:c r="G40" s="2"/>
      <x:c r="H40" s="2"/>
      <x:c r="I40" s="2"/>
    </x:row>
    <x:row r="41" ht="24" customHeight="1">
      <x:c r="A41" s="2"/>
      <x:c r="B41" s="2" t="str">
        <x:v>(d) Parallelt skift</x:v>
      </x:c>
      <x:c r="C41" s="23" t="n">
        <x:f>D22-G36</x:f>
        <x:v>1.9323216137241985</x:v>
      </x:c>
      <x:c r="D41" s="23" t="n">
        <x:f>E22-H36</x:f>
        <x:v>1.9187753077092395</x:v>
      </x:c>
      <x:c r="E41" s="42" t="n">
        <x:f>C41/D22</x:f>
        <x:v>0.019323216137241982</x:v>
      </x:c>
      <x:c r="F41" s="42" t="n">
        <x:f>D41/E22</x:f>
        <x:v>0.019187112176305247</x:v>
      </x:c>
      <x:c r="G41" s="2"/>
      <x:c r="H41" s="2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31" t="str">
        <x:v>Positivt værditab betyder, at prisen er faldet. Negativt værditab er en gevinst.</x:v>
      </x:c>
      <x:c r="C43" s="31"/>
      <x:c r="D43" s="31"/>
      <x:c r="E43" s="31"/>
      <x:c r="F43" s="31"/>
      <x:c r="G43" s="31"/>
      <x:c r="H43" s="31"/>
      <x:c r="I43" s="2"/>
    </x:row>
    <x:row r="44" ht="24" customHeight="1">
      <x:c r="A44" s="2"/>
      <x:c r="B44" s="31" t="str">
        <x:v>(c) A har ingen betaling i år 3 og rammes ikke. B mister værdi på sin 3-årige betaling.</x:v>
      </x:c>
      <x:c r="C44" s="31"/>
      <x:c r="D44" s="31"/>
      <x:c r="E44" s="31"/>
      <x:c r="F44" s="31"/>
      <x:c r="G44" s="31"/>
      <x:c r="H44" s="31"/>
      <x:c r="I44" s="2"/>
    </x:row>
    <x:row r="45" ht="24" customHeight="1">
      <x:c r="A45" s="2"/>
      <x:c r="B45" s="31" t="str">
        <x:v>(d) Ved et parallelt skift taber begge omtrent lige meget, men ikke præcis det samme.</x:v>
      </x:c>
      <x:c r="C45" s="31"/>
      <x:c r="D45" s="31"/>
      <x:c r="E45" s="31"/>
      <x:c r="F45" s="31"/>
      <x:c r="G45" s="31"/>
      <x:c r="H45" s="31"/>
      <x:c r="I45" s="2"/>
    </x:row>
    <x:row r="46" ht="24" customHeight="1">
      <x:c r="A46" s="2"/>
      <x:c r="B46" s="31" t="str">
        <x:v>Næsten samme gennemsnitlige betalingstid skjuler, hvor på kurven betalingerne ligger.</x:v>
      </x:c>
      <x:c r="C46" s="31"/>
      <x:c r="D46" s="31"/>
      <x:c r="E46" s="31"/>
      <x:c r="F46" s="31"/>
      <x:c r="G46" s="31"/>
      <x:c r="H46" s="31"/>
      <x:c r="I46" s="2"/>
    </x:row>
    <x:row r="47" ht="24" customHeight="1">
      <x:c r="A47" s="2"/>
      <x:c r="B47" s="31" t="str">
        <x:v>Kapitel 4 har derfor brug for renterisiko fordelt på løbetider, fx nøglerentevarighed, ud over ét samlet mål.</x:v>
      </x:c>
      <x:c r="C47" s="31"/>
      <x:c r="D47" s="31"/>
      <x:c r="E47" s="31"/>
      <x:c r="F47" s="31"/>
      <x:c r="G47" s="31"/>
      <x:c r="H47" s="31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</x:row>
  </x:sheetData>
  <x:pageMargins left="0.7" right="0.7" top="0.75" bottom="0.75" header="0.3" footer="0.3"/>
  <x:drawing xmlns:r="http://schemas.openxmlformats.org/officeDocument/2006/relationships" r:id="R6ca74cc655484fd4"/>
</x:worksheet>
</file>