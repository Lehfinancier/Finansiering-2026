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ående" sheetId="1" state="visible" r:id="rId3"/>
    <sheet name="Serieobligation" sheetId="2" state="visible" r:id="rId4"/>
    <sheet name="Sammenfatning" sheetId="3" state="visible" r:id="rId5"/>
    <sheet name="ACT-ACT vs ACT-36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<sst xmlns="http://schemas.openxmlformats.org/spreadsheetml/2006/main" count="116" uniqueCount="95">
  <si>
    <t xml:space="preserve">Varighed for 10-årig stående obligation – eksemplet i kapitel 4</t>
  </si>
  <si>
    <t xml:space="preserve">Gule felter med blå tekst er input og kan ændres; alt andet er formler. Prøv fx at ændre den effektive rente.</t>
  </si>
  <si>
    <t xml:space="preserve">Nøgledata (tabel 4.2)</t>
  </si>
  <si>
    <t xml:space="preserve">Handelsdag</t>
  </si>
  <si>
    <t xml:space="preserve">Handelsdagen bruges ikke i beregningen – valørdagen gør.</t>
  </si>
  <si>
    <t xml:space="preserve">Valørdag</t>
  </si>
  <si>
    <t xml:space="preserve">Dagen hvor betaling og levering sker; tider måles herfra.</t>
  </si>
  <si>
    <t xml:space="preserve">Sidste kuponbetaling</t>
  </si>
  <si>
    <t xml:space="preserve">Start på den løbende kuponperiode.</t>
  </si>
  <si>
    <t xml:space="preserve">Næste kupondato (første termin)</t>
  </si>
  <si>
    <t xml:space="preserve">Slut på den løbende kuponperiode.</t>
  </si>
  <si>
    <t xml:space="preserve">Kupon (p.a.)</t>
  </si>
  <si>
    <t xml:space="preserve">Effektiv rente</t>
  </si>
  <si>
    <t xml:space="preserve">Diskonteringsrenten for alle betalinger.</t>
  </si>
  <si>
    <t xml:space="preserve">Terminer pr. år, n</t>
  </si>
  <si>
    <t xml:space="preserve">Årlige terminer i eksemplet.</t>
  </si>
  <si>
    <t xml:space="preserve">Hovedstol</t>
  </si>
  <si>
    <t xml:space="preserve">Antal resterende betalinger</t>
  </si>
  <si>
    <t xml:space="preserve">2025, 2026, …, 2034.</t>
  </si>
  <si>
    <t xml:space="preserve">Afledte størrelser</t>
  </si>
  <si>
    <t xml:space="preserve">Antal vedh. rentedage</t>
  </si>
  <si>
    <t xml:space="preserve">Faktiske dage fra sidste kupon til valør (tabel 4.2: 69).</t>
  </si>
  <si>
    <t xml:space="preserve">Dage i kuponperioden</t>
  </si>
  <si>
    <t xml:space="preserve">15-11-2024 → 15-11-2025 = 365 faktiske dage.</t>
  </si>
  <si>
    <t xml:space="preserve">Dage fra valør til første termin</t>
  </si>
  <si>
    <t xml:space="preserve">23-01-2025 → 15-11-2025 = 296 faktiske dage.</t>
  </si>
  <si>
    <t xml:space="preserve">t1 (ACT/ACT)</t>
  </si>
  <si>
    <t xml:space="preserve">t1 = 296/365 = 0,811. Svarer til bogens =(B3-B1)/(B3-B2).</t>
  </si>
  <si>
    <t xml:space="preserve">Vedhængende rente</t>
  </si>
  <si>
    <t xml:space="preserve">Kupon × 69/365 (tabel 4.2: 0,425).</t>
  </si>
  <si>
    <t xml:space="preserve">Trin 1: Den første betaling</t>
  </si>
  <si>
    <t xml:space="preserve">Kuponbetaling</t>
  </si>
  <si>
    <t xml:space="preserve">Diskonteringsfaktor 1/(1+r)^t1</t>
  </si>
  <si>
    <t xml:space="preserve">Nutidsværdi</t>
  </si>
  <si>
    <t xml:space="preserve">2,25 / 1,0245^0,811 = 2,206. Samme beregning gentages for hver betaling nedenfor.</t>
  </si>
  <si>
    <t xml:space="preserve">Trin 2: Alle betalinger (tabel 4.3)</t>
  </si>
  <si>
    <t xml:space="preserve">Nr.</t>
  </si>
  <si>
    <t xml:space="preserve">Termin</t>
  </si>
  <si>
    <t xml:space="preserve">Tid i år t_i</t>
  </si>
  <si>
    <t xml:space="preserve">CF</t>
  </si>
  <si>
    <t xml:space="preserve">Disk.faktor</t>
  </si>
  <si>
    <t xml:space="preserve">PV(CF)</t>
  </si>
  <si>
    <t xml:space="preserve">Vægt</t>
  </si>
  <si>
    <t xml:space="preserve">Vægt·tid</t>
  </si>
  <si>
    <t xml:space="preserve">t_i(t_i+1)·PV(CF)</t>
  </si>
  <si>
    <t xml:space="preserve">Sum</t>
  </si>
  <si>
    <t xml:space="preserve">Tid: t1 + (i−1)/n, jf. (4.2).  CF: kupon hvert år + hovedstol ved sidste termin.  Vægt = PV(CF)/kurs.  Sidste kolonne bruges i konveksitetsafsnittet.</t>
  </si>
  <si>
    <t xml:space="preserve">Trin 3: Resultater</t>
  </si>
  <si>
    <t xml:space="preserve">Kurs inkl. vedh. rente (sum af PV)</t>
  </si>
  <si>
    <t xml:space="preserve">Bogen: 98,696</t>
  </si>
  <si>
    <t xml:space="preserve">Jf. kapitel 2</t>
  </si>
  <si>
    <t xml:space="preserve">Kurs ekskl. vedh. rente (notering)</t>
  </si>
  <si>
    <t xml:space="preserve">Kurs inkl. − vedh. rente</t>
  </si>
  <si>
    <t xml:space="preserve">Macaulay-varighed (år)</t>
  </si>
  <si>
    <t xml:space="preserve">Bogen: 8,867 år = PV-vægtet gennemsnitlig tid</t>
  </si>
  <si>
    <t xml:space="preserve">Modificeret varighed</t>
  </si>
  <si>
    <t xml:space="preserve">Macaulay/(1+r). Kursfølsomhed i % pr. procentpoint</t>
  </si>
  <si>
    <t xml:space="preserve">Sum t(t+1)·PV(CF)</t>
  </si>
  <si>
    <t xml:space="preserve">Bogen: 9147,28 – bruges i konveksitetsafsnittet</t>
  </si>
  <si>
    <t xml:space="preserve">Varighed for tilsvarende serieobligation – 10 lige store afdrag</t>
  </si>
  <si>
    <t xml:space="preserve">Input hentes fra arket 'Stående' (grøn tekst), så begge obligationer følger med, når du ændrer der.</t>
  </si>
  <si>
    <t xml:space="preserve">Input</t>
  </si>
  <si>
    <t xml:space="preserve">Første termin</t>
  </si>
  <si>
    <t xml:space="preserve">Antal afdrag</t>
  </si>
  <si>
    <t xml:space="preserve">t1</t>
  </si>
  <si>
    <t xml:space="preserve">Afdrag pr. termin</t>
  </si>
  <si>
    <t xml:space="preserve">Betalinger (samme tider som den stående obligation)</t>
  </si>
  <si>
    <t xml:space="preserve">Restgæld primo</t>
  </si>
  <si>
    <t xml:space="preserve">Rente</t>
  </si>
  <si>
    <t xml:space="preserve">Afdrag</t>
  </si>
  <si>
    <t xml:space="preserve">Rente = kupon × restgæld primo.  CF = rente + afdrag.  Betalingerne er større tidligt, så vægten flytter frem i tid.</t>
  </si>
  <si>
    <t xml:space="preserve">Resultater</t>
  </si>
  <si>
    <t xml:space="preserve">Kurs inkl. vedh. rente</t>
  </si>
  <si>
    <t xml:space="preserve">Bogen: 99,454</t>
  </si>
  <si>
    <t xml:space="preserve">Bogen: 4,948 år</t>
  </si>
  <si>
    <t xml:space="preserve">Til konveksitetsafsnittet</t>
  </si>
  <si>
    <t xml:space="preserve">Samme endelige løbetid, men forskellig varighed (tabel 4.4)</t>
  </si>
  <si>
    <t xml:space="preserve">Obligation</t>
  </si>
  <si>
    <t xml:space="preserve">Kurs</t>
  </si>
  <si>
    <t xml:space="preserve">Sidste betaling</t>
  </si>
  <si>
    <t xml:space="preserve">Stående obligation</t>
  </si>
  <si>
    <t xml:space="preserve">Serieobligation</t>
  </si>
  <si>
    <t xml:space="preserve">Sidste betaling angivet som tid i år fra valør (bogen: ca. 10 år).</t>
  </si>
  <si>
    <t xml:space="preserve">PV-vægte pr. termin – varigheden er 'balancepunktet' for vægtene</t>
  </si>
  <si>
    <t xml:space="preserve">Tid i år</t>
  </si>
  <si>
    <t xml:space="preserve">Stående</t>
  </si>
  <si>
    <t xml:space="preserve">Serie</t>
  </si>
  <si>
    <t xml:space="preserve">Dagstællekonvention: ACT/ACT (terminsbaseret) vs. ACT/365 Fixed</t>
  </si>
  <si>
    <t xml:space="preserve">ACT/365 Fixed svarer til at trække =DATEDIF(valør;termin;"d")/365 ned. Forskellen opstår, når intervallet indeholder en skuddag.</t>
  </si>
  <si>
    <t xml:space="preserve">Faktiske dage fra valør</t>
  </si>
  <si>
    <t xml:space="preserve">ACT/ACT</t>
  </si>
  <si>
    <t xml:space="preserve">ACT/365 Fixed</t>
  </si>
  <si>
    <t xml:space="preserve">Forskel (år)</t>
  </si>
  <si>
    <t xml:space="preserve">Skuddag passeret?</t>
  </si>
  <si>
    <t xml:space="preserve">Første skuddag i perioden er 29-02-2028. Fra terminen 15-11-2028 giver ACT/365 ca. 3,814 år mod 3,811 under ACT/ACT, jf. teksten.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</si>
</sst>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\-yyyy"/>
    <numFmt numFmtId="166" formatCode="0.00%"/>
    <numFmt numFmtId="167" formatCode="0"/>
    <numFmt numFmtId="168" formatCode="0.000"/>
    <numFmt numFmtId="169" formatCode="0.00"/>
    <numFmt numFmtId="170" formatCode="0.0000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PV-vægte: stående vs. serieobligation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Sammenfatning!B9</c:f>
              <c:strCache>
                <c:ptCount val="1"/>
                <c:pt idx="0">
                  <c:v>Stående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Sammenfatning!$A$10:$A$19</c:f>
              <c:strCache>
                <c:ptCount val="10"/>
                <c:pt idx="0">
                  <c:v>0.811</c:v>
                </c:pt>
                <c:pt idx="1">
                  <c:v>1.811</c:v>
                </c:pt>
                <c:pt idx="2">
                  <c:v>2.811</c:v>
                </c:pt>
                <c:pt idx="3">
                  <c:v>3.811</c:v>
                </c:pt>
                <c:pt idx="4">
                  <c:v>4.811</c:v>
                </c:pt>
                <c:pt idx="5">
                  <c:v>5.811</c:v>
                </c:pt>
                <c:pt idx="6">
                  <c:v>6.811</c:v>
                </c:pt>
                <c:pt idx="7">
                  <c:v>7.811</c:v>
                </c:pt>
                <c:pt idx="8">
                  <c:v>8.811</c:v>
                </c:pt>
                <c:pt idx="9">
                  <c:v>9.811</c:v>
                </c:pt>
              </c:strCache>
            </c:strRef>
          </c:cat>
          <c:val>
            <c:numRef>
              <c:f>Sammenfatning!$B$10:$B$19</c:f>
              <c:numCache>
                <c:formatCode>0.00%</c:formatCode>
                <c:ptCount val="10"/>
                <c:pt idx="0">
                  <c:v>0.0223542369732251</c:v>
                </c:pt>
                <c:pt idx="1">
                  <c:v>0.0218196554155442</c:v>
                </c:pt>
                <c:pt idx="2">
                  <c:v>0.0212978578970661</c:v>
                </c:pt>
                <c:pt idx="3">
                  <c:v>0.020788538698942</c:v>
                </c:pt>
                <c:pt idx="4">
                  <c:v>0.0202913994133158</c:v>
                </c:pt>
                <c:pt idx="5">
                  <c:v>0.0198061487684879</c:v>
                </c:pt>
                <c:pt idx="6">
                  <c:v>0.0193325024582605</c:v>
                </c:pt>
                <c:pt idx="7">
                  <c:v>0.0188701829753641</c:v>
                </c:pt>
                <c:pt idx="8">
                  <c:v>0.0184189194488668</c:v>
                </c:pt>
                <c:pt idx="9">
                  <c:v>0.817020557950928</c:v>
                </c:pt>
              </c:numCache>
            </c:numRef>
          </c:val>
        </c:ser>
        <c:ser>
          <c:idx val="1"/>
          <c:order val="1"/>
          <c:tx>
            <c:strRef>
              <c:f>Sammenfatning!C9</c:f>
              <c:strCache>
                <c:ptCount val="1"/>
                <c:pt idx="0">
                  <c:v>Serie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Sammenfatning!$A$10:$A$19</c:f>
              <c:strCache>
                <c:ptCount val="10"/>
                <c:pt idx="0">
                  <c:v>0.811</c:v>
                </c:pt>
                <c:pt idx="1">
                  <c:v>1.811</c:v>
                </c:pt>
                <c:pt idx="2">
                  <c:v>2.811</c:v>
                </c:pt>
                <c:pt idx="3">
                  <c:v>3.811</c:v>
                </c:pt>
                <c:pt idx="4">
                  <c:v>4.811</c:v>
                </c:pt>
                <c:pt idx="5">
                  <c:v>5.811</c:v>
                </c:pt>
                <c:pt idx="6">
                  <c:v>6.811</c:v>
                </c:pt>
                <c:pt idx="7">
                  <c:v>7.811</c:v>
                </c:pt>
                <c:pt idx="8">
                  <c:v>8.811</c:v>
                </c:pt>
                <c:pt idx="9">
                  <c:v>9.811</c:v>
                </c:pt>
              </c:strCache>
            </c:strRef>
          </c:cat>
          <c:val>
            <c:numRef>
              <c:f>Sammenfatning!$C$10:$C$19</c:f>
              <c:numCache>
                <c:formatCode>0.00%</c:formatCode>
                <c:ptCount val="10"/>
                <c:pt idx="0">
                  <c:v>0.120778584499018</c:v>
                </c:pt>
                <c:pt idx="1">
                  <c:v>0.115724941273549</c:v>
                </c:pt>
                <c:pt idx="2">
                  <c:v>0.110843933364615</c:v>
                </c:pt>
                <c:pt idx="3">
                  <c:v>0.106130194033916</c:v>
                </c:pt>
                <c:pt idx="4">
                  <c:v>0.10157851449719</c:v>
                </c:pt>
                <c:pt idx="5">
                  <c:v>0.0971838394387069</c:v>
                </c:pt>
                <c:pt idx="6">
                  <c:v>0.0929412626499662</c:v>
                </c:pt>
                <c:pt idx="7">
                  <c:v>0.0888460227892227</c:v>
                </c:pt>
                <c:pt idx="8">
                  <c:v>0.0848934992585521</c:v>
                </c:pt>
                <c:pt idx="9">
                  <c:v>0.0810792081952634</c:v>
                </c:pt>
              </c:numCache>
            </c:numRef>
          </c:val>
        </c:ser>
        <c:gapWidth val="150"/>
        <c:overlap val="0"/>
        <c:axId val="84115242"/>
        <c:axId val="43769105"/>
      </c:barChart>
      <c:catAx>
        <c:axId val="84115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Tid i år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69105"/>
        <c:crosses val="autoZero"/>
        <c:auto val="1"/>
        <c:lblAlgn val="ctr"/>
        <c:lblOffset val="100"/>
        <c:noMultiLvlLbl val="0"/>
      </c:catAx>
      <c:valAx>
        <c:axId val="43769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Vægt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15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13</xdr:col>
      <xdr:colOff>256320</xdr:colOff>
      <xdr:row>15</xdr:row>
      <xdr:rowOff>182520</xdr:rowOff>
    </xdr:to>
    <xdr:graphicFrame>
      <xdr:nvGraphicFramePr>
        <xdr:cNvPr id="0" name="Chart 1"/>
        <xdr:cNvGraphicFramePr/>
      </xdr:nvGraphicFramePr>
      <xdr:xfrm>
        <a:off x="45111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45678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45680</v>
      </c>
      <c r="C6" s="2" t="s">
        <v>6</v>
      </c>
    </row>
    <row r="7" customFormat="false" ht="15" hidden="false" customHeight="false" outlineLevel="0" collapsed="false">
      <c r="A7" s="4" t="s">
        <v>7</v>
      </c>
      <c r="B7" s="5" t="n">
        <v>45611</v>
      </c>
      <c r="C7" s="2" t="s">
        <v>8</v>
      </c>
    </row>
    <row r="8" customFormat="false" ht="15" hidden="false" customHeight="false" outlineLevel="0" collapsed="false">
      <c r="A8" s="4" t="s">
        <v>9</v>
      </c>
      <c r="B8" s="5" t="n">
        <v>45976</v>
      </c>
      <c r="C8" s="2" t="s">
        <v>10</v>
      </c>
    </row>
    <row r="9" customFormat="false" ht="15" hidden="false" customHeight="false" outlineLevel="0" collapsed="false">
      <c r="A9" s="4" t="s">
        <v>11</v>
      </c>
      <c r="B9" s="6" t="n">
        <v>0.0225</v>
      </c>
      <c r="C9" s="2"/>
    </row>
    <row r="10" customFormat="false" ht="15" hidden="false" customHeight="false" outlineLevel="0" collapsed="false">
      <c r="A10" s="4" t="s">
        <v>12</v>
      </c>
      <c r="B10" s="6" t="n">
        <v>0.0245</v>
      </c>
      <c r="C10" s="2" t="s">
        <v>13</v>
      </c>
    </row>
    <row r="11" customFormat="false" ht="15" hidden="false" customHeight="false" outlineLevel="0" collapsed="false">
      <c r="A11" s="4" t="s">
        <v>14</v>
      </c>
      <c r="B11" s="7" t="n">
        <v>1</v>
      </c>
      <c r="C11" s="2" t="s">
        <v>15</v>
      </c>
    </row>
    <row r="12" customFormat="false" ht="15" hidden="false" customHeight="false" outlineLevel="0" collapsed="false">
      <c r="A12" s="4" t="s">
        <v>16</v>
      </c>
      <c r="B12" s="7" t="n">
        <v>100</v>
      </c>
      <c r="C12" s="2"/>
    </row>
    <row r="13" customFormat="false" ht="15" hidden="false" customHeight="false" outlineLevel="0" collapsed="false">
      <c r="A13" s="4" t="s">
        <v>17</v>
      </c>
      <c r="B13" s="7" t="n">
        <v>10</v>
      </c>
      <c r="C13" s="2" t="s">
        <v>18</v>
      </c>
    </row>
    <row r="15" customFormat="false" ht="15" hidden="false" customHeight="false" outlineLevel="0" collapsed="false">
      <c r="A15" s="3" t="s">
        <v>19</v>
      </c>
    </row>
    <row r="16" customFormat="false" ht="15" hidden="false" customHeight="false" outlineLevel="0" collapsed="false">
      <c r="A16" s="4" t="s">
        <v>20</v>
      </c>
      <c r="B16" s="8" t="n">
        <f aca="false">B6-B7</f>
        <v>69</v>
      </c>
      <c r="C16" s="2" t="s">
        <v>21</v>
      </c>
    </row>
    <row r="17" customFormat="false" ht="15" hidden="false" customHeight="false" outlineLevel="0" collapsed="false">
      <c r="A17" s="4" t="s">
        <v>22</v>
      </c>
      <c r="B17" s="8" t="n">
        <f aca="false">B8-B7</f>
        <v>365</v>
      </c>
      <c r="C17" s="2" t="s">
        <v>23</v>
      </c>
    </row>
    <row r="18" customFormat="false" ht="15" hidden="false" customHeight="false" outlineLevel="0" collapsed="false">
      <c r="A18" s="4" t="s">
        <v>24</v>
      </c>
      <c r="B18" s="8" t="n">
        <f aca="false">B8-B6</f>
        <v>296</v>
      </c>
      <c r="C18" s="2" t="s">
        <v>25</v>
      </c>
    </row>
    <row r="19" customFormat="false" ht="15" hidden="false" customHeight="false" outlineLevel="0" collapsed="false">
      <c r="A19" s="4" t="s">
        <v>26</v>
      </c>
      <c r="B19" s="9" t="n">
        <f aca="false">B18/B17</f>
        <v>0.810958904109589</v>
      </c>
      <c r="C19" s="2" t="s">
        <v>27</v>
      </c>
    </row>
    <row r="20" customFormat="false" ht="15" hidden="false" customHeight="false" outlineLevel="0" collapsed="false">
      <c r="A20" s="4" t="s">
        <v>28</v>
      </c>
      <c r="B20" s="9" t="n">
        <f aca="false">B9*B12/B11*B16/B17</f>
        <v>0.425342465753425</v>
      </c>
      <c r="C20" s="2" t="s">
        <v>29</v>
      </c>
    </row>
    <row r="22" customFormat="false" ht="15" hidden="false" customHeight="false" outlineLevel="0" collapsed="false">
      <c r="A22" s="3" t="s">
        <v>30</v>
      </c>
    </row>
    <row r="23" customFormat="false" ht="15" hidden="false" customHeight="false" outlineLevel="0" collapsed="false">
      <c r="A23" s="4" t="s">
        <v>31</v>
      </c>
      <c r="B23" s="10" t="n">
        <f aca="false">B9*B12/B11</f>
        <v>2.25</v>
      </c>
    </row>
    <row r="24" customFormat="false" ht="15" hidden="false" customHeight="false" outlineLevel="0" collapsed="false">
      <c r="A24" s="4" t="s">
        <v>32</v>
      </c>
      <c r="B24" s="11" t="n">
        <f aca="false">1/(1+B10)^B19</f>
        <v>0.980562386812773</v>
      </c>
    </row>
    <row r="25" customFormat="false" ht="15" hidden="false" customHeight="false" outlineLevel="0" collapsed="false">
      <c r="A25" s="4" t="s">
        <v>33</v>
      </c>
      <c r="B25" s="12" t="n">
        <f aca="false">B23*B24</f>
        <v>2.20626537032874</v>
      </c>
      <c r="C25" s="2" t="s">
        <v>34</v>
      </c>
    </row>
    <row r="27" customFormat="false" ht="15" hidden="false" customHeight="false" outlineLevel="0" collapsed="false">
      <c r="A27" s="3" t="s">
        <v>35</v>
      </c>
    </row>
    <row r="28" customFormat="false" ht="30" hidden="false" customHeight="true" outlineLevel="0" collapsed="false">
      <c r="A28" s="13" t="s">
        <v>36</v>
      </c>
      <c r="B28" s="13" t="s">
        <v>37</v>
      </c>
      <c r="C28" s="13" t="s">
        <v>38</v>
      </c>
      <c r="D28" s="13" t="s">
        <v>39</v>
      </c>
      <c r="E28" s="13" t="s">
        <v>40</v>
      </c>
      <c r="F28" s="13" t="s">
        <v>41</v>
      </c>
      <c r="G28" s="13" t="s">
        <v>42</v>
      </c>
      <c r="H28" s="13" t="s">
        <v>43</v>
      </c>
      <c r="I28" s="13" t="s">
        <v>44</v>
      </c>
    </row>
    <row r="29" customFormat="false" ht="15" hidden="false" customHeight="false" outlineLevel="0" collapsed="false">
      <c r="A29" s="8" t="n">
        <v>1</v>
      </c>
      <c r="B29" s="14" t="n">
        <f aca="false">$B$8</f>
        <v>45976</v>
      </c>
      <c r="C29" s="9" t="n">
        <f aca="false">$B$19</f>
        <v>0.810958904109589</v>
      </c>
      <c r="D29" s="10" t="n">
        <f aca="false">$B$9*$B$12/$B$11+IF(A29=$B$13,$B$12,0)</f>
        <v>2.25</v>
      </c>
      <c r="E29" s="11" t="n">
        <f aca="false">1/(1+$B$10)^C29</f>
        <v>0.980562386812773</v>
      </c>
      <c r="F29" s="9" t="n">
        <f aca="false">D29*E29</f>
        <v>2.20626537032874</v>
      </c>
      <c r="G29" s="15" t="n">
        <f aca="false">F29/$F$39</f>
        <v>0.0223542369732251</v>
      </c>
      <c r="H29" s="11" t="n">
        <f aca="false">G29*C29</f>
        <v>0.0181283675180127</v>
      </c>
      <c r="I29" s="10" t="n">
        <f aca="false">C29*(C29+1)*F29</f>
        <v>3.24015055205134</v>
      </c>
    </row>
    <row r="30" customFormat="false" ht="15" hidden="false" customHeight="false" outlineLevel="0" collapsed="false">
      <c r="A30" s="8" t="n">
        <v>2</v>
      </c>
      <c r="B30" s="14" t="n">
        <f aca="false">EDATE(B29,12/$B$11)</f>
        <v>46341</v>
      </c>
      <c r="C30" s="9" t="n">
        <f aca="false">C29+1/$B$11</f>
        <v>1.81095890410959</v>
      </c>
      <c r="D30" s="10" t="n">
        <f aca="false">$B$9*$B$12/$B$11+IF(A30=$B$13,$B$12,0)</f>
        <v>2.25</v>
      </c>
      <c r="E30" s="11" t="n">
        <f aca="false">1/(1+$B$10)^C30</f>
        <v>0.957113115483429</v>
      </c>
      <c r="F30" s="9" t="n">
        <f aca="false">D30*E30</f>
        <v>2.15350450983772</v>
      </c>
      <c r="G30" s="15" t="n">
        <f aca="false">F30/$F$39</f>
        <v>0.0218196554155442</v>
      </c>
      <c r="H30" s="11" t="n">
        <f aca="false">G30*C30</f>
        <v>0.0395144992593829</v>
      </c>
      <c r="I30" s="10" t="n">
        <f aca="false">C30*(C30+1)*F30</f>
        <v>10.9624815876059</v>
      </c>
    </row>
    <row r="31" customFormat="false" ht="15" hidden="false" customHeight="false" outlineLevel="0" collapsed="false">
      <c r="A31" s="8" t="n">
        <v>3</v>
      </c>
      <c r="B31" s="14" t="n">
        <f aca="false">EDATE(B30,12/$B$11)</f>
        <v>46706</v>
      </c>
      <c r="C31" s="9" t="n">
        <f aca="false">C30+1/$B$11</f>
        <v>2.81095890410959</v>
      </c>
      <c r="D31" s="10" t="n">
        <f aca="false">$B$9*$B$12/$B$11+IF(A31=$B$13,$B$12,0)</f>
        <v>2.25</v>
      </c>
      <c r="E31" s="11" t="n">
        <f aca="false">1/(1+$B$10)^C31</f>
        <v>0.934224612477725</v>
      </c>
      <c r="F31" s="9" t="n">
        <f aca="false">D31*E31</f>
        <v>2.10200537807488</v>
      </c>
      <c r="G31" s="15" t="n">
        <f aca="false">F31/$F$39</f>
        <v>0.0212978578970661</v>
      </c>
      <c r="H31" s="11" t="n">
        <f aca="false">G31*C31</f>
        <v>0.0598674032942187</v>
      </c>
      <c r="I31" s="10" t="n">
        <f aca="false">C31*(C31+1)*F31</f>
        <v>22.517625125957</v>
      </c>
    </row>
    <row r="32" customFormat="false" ht="15" hidden="false" customHeight="false" outlineLevel="0" collapsed="false">
      <c r="A32" s="8" t="n">
        <v>4</v>
      </c>
      <c r="B32" s="14" t="n">
        <f aca="false">EDATE(B31,12/$B$11)</f>
        <v>47072</v>
      </c>
      <c r="C32" s="9" t="n">
        <f aca="false">C31+1/$B$11</f>
        <v>3.81095890410959</v>
      </c>
      <c r="D32" s="10" t="n">
        <f aca="false">$B$9*$B$12/$B$11+IF(A32=$B$13,$B$12,0)</f>
        <v>2.25</v>
      </c>
      <c r="E32" s="11" t="n">
        <f aca="false">1/(1+$B$10)^C32</f>
        <v>0.911883467523402</v>
      </c>
      <c r="F32" s="9" t="n">
        <f aca="false">D32*E32</f>
        <v>2.05173780192765</v>
      </c>
      <c r="G32" s="15" t="n">
        <f aca="false">F32/$F$39</f>
        <v>0.020788538698942</v>
      </c>
      <c r="H32" s="11" t="n">
        <f aca="false">G32*C32</f>
        <v>0.0792242666581599</v>
      </c>
      <c r="I32" s="10" t="n">
        <f aca="false">C32*(C32+1)*F32</f>
        <v>37.6173131772361</v>
      </c>
    </row>
    <row r="33" customFormat="false" ht="15" hidden="false" customHeight="false" outlineLevel="0" collapsed="false">
      <c r="A33" s="8" t="n">
        <v>5</v>
      </c>
      <c r="B33" s="14" t="n">
        <f aca="false">EDATE(B32,12/$B$11)</f>
        <v>47437</v>
      </c>
      <c r="C33" s="9" t="n">
        <f aca="false">C32+1/$B$11</f>
        <v>4.81095890410959</v>
      </c>
      <c r="D33" s="10" t="n">
        <f aca="false">$B$9*$B$12/$B$11+IF(A33=$B$13,$B$12,0)</f>
        <v>2.25</v>
      </c>
      <c r="E33" s="11" t="n">
        <f aca="false">1/(1+$B$10)^C33</f>
        <v>0.890076591042852</v>
      </c>
      <c r="F33" s="9" t="n">
        <f aca="false">D33*E33</f>
        <v>2.00267232984642</v>
      </c>
      <c r="G33" s="15" t="n">
        <f aca="false">F33/$F$39</f>
        <v>0.0202913994133158</v>
      </c>
      <c r="H33" s="11" t="n">
        <f aca="false">G33*C33</f>
        <v>0.0976210886843358</v>
      </c>
      <c r="I33" s="10" t="n">
        <f aca="false">C33*(C33+1)*F33</f>
        <v>55.9872773756957</v>
      </c>
    </row>
    <row r="34" customFormat="false" ht="15" hidden="false" customHeight="false" outlineLevel="0" collapsed="false">
      <c r="A34" s="8" t="n">
        <v>6</v>
      </c>
      <c r="B34" s="14" t="n">
        <f aca="false">EDATE(B33,12/$B$11)</f>
        <v>47802</v>
      </c>
      <c r="C34" s="9" t="n">
        <f aca="false">C33+1/$B$11</f>
        <v>5.81095890410959</v>
      </c>
      <c r="D34" s="10" t="n">
        <f aca="false">$B$9*$B$12/$B$11+IF(A34=$B$13,$B$12,0)</f>
        <v>2.25</v>
      </c>
      <c r="E34" s="11" t="n">
        <f aca="false">1/(1+$B$10)^C34</f>
        <v>0.868791206483994</v>
      </c>
      <c r="F34" s="9" t="n">
        <f aca="false">D34*E34</f>
        <v>1.95478021458899</v>
      </c>
      <c r="G34" s="15" t="n">
        <f aca="false">F34/$F$39</f>
        <v>0.0198061487684879</v>
      </c>
      <c r="H34" s="11" t="n">
        <f aca="false">G34*C34</f>
        <v>0.115092716542364</v>
      </c>
      <c r="I34" s="10" t="n">
        <f aca="false">C34*(C34+1)*F34</f>
        <v>77.3666867642417</v>
      </c>
    </row>
    <row r="35" customFormat="false" ht="15" hidden="false" customHeight="false" outlineLevel="0" collapsed="false">
      <c r="A35" s="8" t="n">
        <v>7</v>
      </c>
      <c r="B35" s="14" t="n">
        <f aca="false">EDATE(B34,12/$B$11)</f>
        <v>48167</v>
      </c>
      <c r="C35" s="9" t="n">
        <f aca="false">C34+1/$B$11</f>
        <v>6.81095890410959</v>
      </c>
      <c r="D35" s="10" t="n">
        <f aca="false">$B$9*$B$12/$B$11+IF(A35=$B$13,$B$12,0)</f>
        <v>2.25</v>
      </c>
      <c r="E35" s="11" t="n">
        <f aca="false">1/(1+$B$10)^C35</f>
        <v>0.848014842834547</v>
      </c>
      <c r="F35" s="9" t="n">
        <f aca="false">D35*E35</f>
        <v>1.90803339637773</v>
      </c>
      <c r="G35" s="15" t="n">
        <f aca="false">F35/$F$39</f>
        <v>0.0193325024582605</v>
      </c>
      <c r="H35" s="11" t="n">
        <f aca="false">G35*C35</f>
        <v>0.13167287975681</v>
      </c>
      <c r="I35" s="10" t="n">
        <f aca="false">C35*(C35+1)*F35</f>
        <v>101.507605837487</v>
      </c>
    </row>
    <row r="36" customFormat="false" ht="15" hidden="false" customHeight="false" outlineLevel="0" collapsed="false">
      <c r="A36" s="8" t="n">
        <v>8</v>
      </c>
      <c r="B36" s="14" t="n">
        <f aca="false">EDATE(B35,12/$B$11)</f>
        <v>48533</v>
      </c>
      <c r="C36" s="9" t="n">
        <f aca="false">C35+1/$B$11</f>
        <v>7.81095890410959</v>
      </c>
      <c r="D36" s="10" t="n">
        <f aca="false">$B$9*$B$12/$B$11+IF(A36=$B$13,$B$12,0)</f>
        <v>2.25</v>
      </c>
      <c r="E36" s="11" t="n">
        <f aca="false">1/(1+$B$10)^C36</f>
        <v>0.827735327315322</v>
      </c>
      <c r="F36" s="9" t="n">
        <f aca="false">D36*E36</f>
        <v>1.86240448645947</v>
      </c>
      <c r="G36" s="15" t="n">
        <f aca="false">F36/$F$39</f>
        <v>0.0188701829753641</v>
      </c>
      <c r="H36" s="11" t="n">
        <f aca="false">G36*C36</f>
        <v>0.147394223733597</v>
      </c>
      <c r="I36" s="10" t="n">
        <f aca="false">C36*(C36+1)*F36</f>
        <v>128.174472163043</v>
      </c>
    </row>
    <row r="37" customFormat="false" ht="15" hidden="false" customHeight="false" outlineLevel="0" collapsed="false">
      <c r="A37" s="8" t="n">
        <v>9</v>
      </c>
      <c r="B37" s="14" t="n">
        <f aca="false">EDATE(B36,12/$B$11)</f>
        <v>48898</v>
      </c>
      <c r="C37" s="9" t="n">
        <f aca="false">C36+1/$B$11</f>
        <v>8.81095890410959</v>
      </c>
      <c r="D37" s="10" t="n">
        <f aca="false">$B$9*$B$12/$B$11+IF(A37=$B$13,$B$12,0)</f>
        <v>2.25</v>
      </c>
      <c r="E37" s="11" t="n">
        <f aca="false">1/(1+$B$10)^C37</f>
        <v>0.80794077824824</v>
      </c>
      <c r="F37" s="9" t="n">
        <f aca="false">D37*E37</f>
        <v>1.81786675105854</v>
      </c>
      <c r="G37" s="15" t="n">
        <f aca="false">F37/$F$39</f>
        <v>0.0184189194488668</v>
      </c>
      <c r="H37" s="11" t="n">
        <f aca="false">G37*C37</f>
        <v>0.16228834232207</v>
      </c>
      <c r="I37" s="10" t="n">
        <f aca="false">C37*(C37+1)*F37</f>
        <v>157.14359292249</v>
      </c>
    </row>
    <row r="38" customFormat="false" ht="15" hidden="false" customHeight="false" outlineLevel="0" collapsed="false">
      <c r="A38" s="8" t="n">
        <v>10</v>
      </c>
      <c r="B38" s="14" t="n">
        <f aca="false">EDATE(B37,12/$B$11)</f>
        <v>49263</v>
      </c>
      <c r="C38" s="9" t="n">
        <f aca="false">C37+1/$B$11</f>
        <v>9.81095890410959</v>
      </c>
      <c r="D38" s="10" t="n">
        <f aca="false">$B$9*$B$12/$B$11+IF(A38=$B$13,$B$12,0)</f>
        <v>102.25</v>
      </c>
      <c r="E38" s="11" t="n">
        <f aca="false">1/(1+$B$10)^C38</f>
        <v>0.788619598094915</v>
      </c>
      <c r="F38" s="9" t="n">
        <f aca="false">D38*E38</f>
        <v>80.636353905205</v>
      </c>
      <c r="G38" s="15" t="n">
        <f aca="false">F38/$F$39</f>
        <v>0.817020557950928</v>
      </c>
      <c r="H38" s="11" t="n">
        <f aca="false">G38*C38</f>
        <v>8.01575511786924</v>
      </c>
      <c r="I38" s="10" t="n">
        <f aca="false">C38*(C38+1)*F38</f>
        <v>8552.76531460381</v>
      </c>
    </row>
    <row r="39" customFormat="false" ht="15" hidden="false" customHeight="false" outlineLevel="0" collapsed="false">
      <c r="A39" s="16" t="s">
        <v>45</v>
      </c>
      <c r="B39" s="17"/>
      <c r="C39" s="17"/>
      <c r="D39" s="17"/>
      <c r="E39" s="17"/>
      <c r="F39" s="18" t="n">
        <f aca="false">SUM(F29:F38)</f>
        <v>98.6956241437052</v>
      </c>
      <c r="G39" s="19" t="n">
        <f aca="false">SUM(G29:G38)</f>
        <v>1</v>
      </c>
      <c r="H39" s="18" t="n">
        <f aca="false">SUM(H29:H38)</f>
        <v>8.86655890563819</v>
      </c>
      <c r="I39" s="20" t="n">
        <f aca="false">SUM(I29:I38)</f>
        <v>9147.28252010962</v>
      </c>
    </row>
    <row r="40" customFormat="false" ht="15" hidden="false" customHeight="false" outlineLevel="0" collapsed="false">
      <c r="A40" s="2" t="s">
        <v>46</v>
      </c>
    </row>
    <row r="42" customFormat="false" ht="15" hidden="false" customHeight="false" outlineLevel="0" collapsed="false">
      <c r="A42" s="3" t="s">
        <v>47</v>
      </c>
    </row>
    <row r="43" customFormat="false" ht="15" hidden="false" customHeight="false" outlineLevel="0" collapsed="false">
      <c r="A43" s="4" t="s">
        <v>48</v>
      </c>
      <c r="B43" s="12" t="n">
        <f aca="false">F39</f>
        <v>98.6956241437052</v>
      </c>
      <c r="C43" s="2" t="s">
        <v>49</v>
      </c>
    </row>
    <row r="44" customFormat="false" ht="15" hidden="false" customHeight="false" outlineLevel="0" collapsed="false">
      <c r="A44" s="4" t="s">
        <v>28</v>
      </c>
      <c r="B44" s="12" t="n">
        <f aca="false">B20</f>
        <v>0.425342465753425</v>
      </c>
      <c r="C44" s="2" t="s">
        <v>50</v>
      </c>
    </row>
    <row r="45" customFormat="false" ht="15" hidden="false" customHeight="false" outlineLevel="0" collapsed="false">
      <c r="A45" s="4" t="s">
        <v>51</v>
      </c>
      <c r="B45" s="12" t="n">
        <f aca="false">B43-B44</f>
        <v>98.2702816779517</v>
      </c>
      <c r="C45" s="2" t="s">
        <v>52</v>
      </c>
    </row>
    <row r="46" customFormat="false" ht="15" hidden="false" customHeight="false" outlineLevel="0" collapsed="false">
      <c r="A46" s="4" t="s">
        <v>53</v>
      </c>
      <c r="B46" s="12" t="n">
        <f aca="false">H39</f>
        <v>8.86655890563819</v>
      </c>
      <c r="C46" s="2" t="s">
        <v>54</v>
      </c>
    </row>
    <row r="47" customFormat="false" ht="15" hidden="false" customHeight="false" outlineLevel="0" collapsed="false">
      <c r="A47" s="4" t="s">
        <v>55</v>
      </c>
      <c r="B47" s="12" t="n">
        <f aca="false">B46/(1+B10/B11)</f>
        <v>8.65452308993479</v>
      </c>
      <c r="C47" s="2" t="s">
        <v>56</v>
      </c>
    </row>
    <row r="48" customFormat="false" ht="15" hidden="false" customHeight="false" outlineLevel="0" collapsed="false">
      <c r="A48" s="4" t="s">
        <v>57</v>
      </c>
      <c r="B48" s="21" t="n">
        <f aca="false">I39</f>
        <v>9147.28252010962</v>
      </c>
      <c r="C48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3" t="s">
        <v>61</v>
      </c>
    </row>
    <row r="5" customFormat="false" ht="15" hidden="false" customHeight="false" outlineLevel="0" collapsed="false">
      <c r="A5" s="4" t="s">
        <v>62</v>
      </c>
      <c r="B5" s="22" t="n">
        <f aca="false">Stående!B8</f>
        <v>45976</v>
      </c>
    </row>
    <row r="6" customFormat="false" ht="15" hidden="false" customHeight="false" outlineLevel="0" collapsed="false">
      <c r="A6" s="4" t="s">
        <v>11</v>
      </c>
      <c r="B6" s="23" t="n">
        <f aca="false">Stående!B9</f>
        <v>0.0225</v>
      </c>
    </row>
    <row r="7" customFormat="false" ht="15" hidden="false" customHeight="false" outlineLevel="0" collapsed="false">
      <c r="A7" s="4" t="s">
        <v>12</v>
      </c>
      <c r="B7" s="23" t="n">
        <f aca="false">Stående!B10</f>
        <v>0.0245</v>
      </c>
    </row>
    <row r="8" customFormat="false" ht="15" hidden="false" customHeight="false" outlineLevel="0" collapsed="false">
      <c r="A8" s="4" t="s">
        <v>14</v>
      </c>
      <c r="B8" s="24" t="n">
        <f aca="false">Stående!B11</f>
        <v>1</v>
      </c>
    </row>
    <row r="9" customFormat="false" ht="15" hidden="false" customHeight="false" outlineLevel="0" collapsed="false">
      <c r="A9" s="4" t="s">
        <v>16</v>
      </c>
      <c r="B9" s="24" t="n">
        <f aca="false">Stående!B12</f>
        <v>100</v>
      </c>
    </row>
    <row r="10" customFormat="false" ht="15" hidden="false" customHeight="false" outlineLevel="0" collapsed="false">
      <c r="A10" s="4" t="s">
        <v>63</v>
      </c>
      <c r="B10" s="24" t="n">
        <f aca="false">Stående!B13</f>
        <v>10</v>
      </c>
    </row>
    <row r="11" customFormat="false" ht="15" hidden="false" customHeight="false" outlineLevel="0" collapsed="false">
      <c r="A11" s="4" t="s">
        <v>64</v>
      </c>
      <c r="B11" s="25" t="n">
        <f aca="false">Stående!B19</f>
        <v>0.810958904109589</v>
      </c>
    </row>
    <row r="12" customFormat="false" ht="15" hidden="false" customHeight="false" outlineLevel="0" collapsed="false">
      <c r="A12" s="4" t="s">
        <v>65</v>
      </c>
      <c r="B12" s="10" t="n">
        <f aca="false">B9/B10</f>
        <v>10</v>
      </c>
    </row>
    <row r="14" customFormat="false" ht="15" hidden="false" customHeight="false" outlineLevel="0" collapsed="false">
      <c r="A14" s="3" t="s">
        <v>66</v>
      </c>
    </row>
    <row r="15" customFormat="false" ht="30" hidden="false" customHeight="true" outlineLevel="0" collapsed="false">
      <c r="A15" s="13" t="s">
        <v>36</v>
      </c>
      <c r="B15" s="13" t="s">
        <v>37</v>
      </c>
      <c r="C15" s="13" t="s">
        <v>38</v>
      </c>
      <c r="D15" s="13" t="s">
        <v>67</v>
      </c>
      <c r="E15" s="13" t="s">
        <v>68</v>
      </c>
      <c r="F15" s="13" t="s">
        <v>69</v>
      </c>
      <c r="G15" s="13" t="s">
        <v>39</v>
      </c>
      <c r="H15" s="13" t="s">
        <v>40</v>
      </c>
      <c r="I15" s="13" t="s">
        <v>41</v>
      </c>
      <c r="J15" s="13" t="s">
        <v>42</v>
      </c>
      <c r="K15" s="13" t="s">
        <v>43</v>
      </c>
      <c r="L15" s="13" t="s">
        <v>44</v>
      </c>
    </row>
    <row r="16" customFormat="false" ht="15" hidden="false" customHeight="false" outlineLevel="0" collapsed="false">
      <c r="A16" s="8" t="n">
        <v>1</v>
      </c>
      <c r="B16" s="14" t="n">
        <f aca="false">$B$5</f>
        <v>45976</v>
      </c>
      <c r="C16" s="9" t="n">
        <f aca="false">$B$11</f>
        <v>0.810958904109589</v>
      </c>
      <c r="D16" s="10" t="n">
        <f aca="false">$B$9</f>
        <v>100</v>
      </c>
      <c r="E16" s="9" t="n">
        <f aca="false">$B$6/$B$8*D16</f>
        <v>2.25</v>
      </c>
      <c r="F16" s="10" t="n">
        <f aca="false">$B$12</f>
        <v>10</v>
      </c>
      <c r="G16" s="9" t="n">
        <f aca="false">E16+F16</f>
        <v>12.25</v>
      </c>
      <c r="H16" s="11" t="n">
        <f aca="false">1/(1+$B$7)^C16</f>
        <v>0.980562386812773</v>
      </c>
      <c r="I16" s="9" t="n">
        <f aca="false">G16*H16</f>
        <v>12.0118892384565</v>
      </c>
      <c r="J16" s="15" t="n">
        <f aca="false">I16/$I$26</f>
        <v>0.120778584499018</v>
      </c>
      <c r="K16" s="11" t="n">
        <f aca="false">J16*C16</f>
        <v>0.0979464685252314</v>
      </c>
      <c r="L16" s="10" t="n">
        <f aca="false">C16*(C16+1)*I16</f>
        <v>17.6408196722795</v>
      </c>
    </row>
    <row r="17" customFormat="false" ht="15" hidden="false" customHeight="false" outlineLevel="0" collapsed="false">
      <c r="A17" s="8" t="n">
        <v>2</v>
      </c>
      <c r="B17" s="14" t="n">
        <f aca="false">EDATE(B16,12/$B$8)</f>
        <v>46341</v>
      </c>
      <c r="C17" s="9" t="n">
        <f aca="false">C16+1/$B$8</f>
        <v>1.81095890410959</v>
      </c>
      <c r="D17" s="10" t="n">
        <f aca="false">D16-F16</f>
        <v>90</v>
      </c>
      <c r="E17" s="9" t="n">
        <f aca="false">$B$6/$B$8*D17</f>
        <v>2.025</v>
      </c>
      <c r="F17" s="10" t="n">
        <f aca="false">$B$12</f>
        <v>10</v>
      </c>
      <c r="G17" s="9" t="n">
        <f aca="false">E17+F17</f>
        <v>12.025</v>
      </c>
      <c r="H17" s="11" t="n">
        <f aca="false">1/(1+$B$7)^C17</f>
        <v>0.957113115483429</v>
      </c>
      <c r="I17" s="9" t="n">
        <f aca="false">G17*H17</f>
        <v>11.5092852136882</v>
      </c>
      <c r="J17" s="15" t="n">
        <f aca="false">I17/$I$26</f>
        <v>0.115724941273549</v>
      </c>
      <c r="K17" s="11" t="n">
        <f aca="false">J17*C17</f>
        <v>0.209573112826893</v>
      </c>
      <c r="L17" s="10" t="n">
        <f aca="false">C17*(C17+1)*I17</f>
        <v>58.5883738182051</v>
      </c>
    </row>
    <row r="18" customFormat="false" ht="15" hidden="false" customHeight="false" outlineLevel="0" collapsed="false">
      <c r="A18" s="8" t="n">
        <v>3</v>
      </c>
      <c r="B18" s="14" t="n">
        <f aca="false">EDATE(B17,12/$B$8)</f>
        <v>46706</v>
      </c>
      <c r="C18" s="9" t="n">
        <f aca="false">C17+1/$B$8</f>
        <v>2.81095890410959</v>
      </c>
      <c r="D18" s="10" t="n">
        <f aca="false">D17-F17</f>
        <v>80</v>
      </c>
      <c r="E18" s="9" t="n">
        <f aca="false">$B$6/$B$8*D18</f>
        <v>1.8</v>
      </c>
      <c r="F18" s="10" t="n">
        <f aca="false">$B$12</f>
        <v>10</v>
      </c>
      <c r="G18" s="9" t="n">
        <f aca="false">E18+F18</f>
        <v>11.8</v>
      </c>
      <c r="H18" s="11" t="n">
        <f aca="false">1/(1+$B$7)^C18</f>
        <v>0.934224612477725</v>
      </c>
      <c r="I18" s="9" t="n">
        <f aca="false">G18*H18</f>
        <v>11.0238504272372</v>
      </c>
      <c r="J18" s="15" t="n">
        <f aca="false">I18/$I$26</f>
        <v>0.110843933364615</v>
      </c>
      <c r="K18" s="11" t="n">
        <f aca="false">J18*C18</f>
        <v>0.311577741457794</v>
      </c>
      <c r="L18" s="10" t="n">
        <f aca="false">C18*(C18+1)*I18</f>
        <v>118.092433993908</v>
      </c>
    </row>
    <row r="19" customFormat="false" ht="15" hidden="false" customHeight="false" outlineLevel="0" collapsed="false">
      <c r="A19" s="8" t="n">
        <v>4</v>
      </c>
      <c r="B19" s="14" t="n">
        <f aca="false">EDATE(B18,12/$B$8)</f>
        <v>47072</v>
      </c>
      <c r="C19" s="9" t="n">
        <f aca="false">C18+1/$B$8</f>
        <v>3.81095890410959</v>
      </c>
      <c r="D19" s="10" t="n">
        <f aca="false">D18-F18</f>
        <v>70</v>
      </c>
      <c r="E19" s="9" t="n">
        <f aca="false">$B$6/$B$8*D19</f>
        <v>1.575</v>
      </c>
      <c r="F19" s="10" t="n">
        <f aca="false">$B$12</f>
        <v>10</v>
      </c>
      <c r="G19" s="9" t="n">
        <f aca="false">E19+F19</f>
        <v>11.575</v>
      </c>
      <c r="H19" s="11" t="n">
        <f aca="false">1/(1+$B$7)^C19</f>
        <v>0.911883467523402</v>
      </c>
      <c r="I19" s="9" t="n">
        <f aca="false">G19*H19</f>
        <v>10.5550511365834</v>
      </c>
      <c r="J19" s="15" t="n">
        <f aca="false">I19/$I$26</f>
        <v>0.106130194033916</v>
      </c>
      <c r="K19" s="11" t="n">
        <f aca="false">J19*C19</f>
        <v>0.404457807948432</v>
      </c>
      <c r="L19" s="10" t="n">
        <f aca="false">C19*(C19+1)*I19</f>
        <v>193.520177789559</v>
      </c>
    </row>
    <row r="20" customFormat="false" ht="15" hidden="false" customHeight="false" outlineLevel="0" collapsed="false">
      <c r="A20" s="8" t="n">
        <v>5</v>
      </c>
      <c r="B20" s="14" t="n">
        <f aca="false">EDATE(B19,12/$B$8)</f>
        <v>47437</v>
      </c>
      <c r="C20" s="9" t="n">
        <f aca="false">C19+1/$B$8</f>
        <v>4.81095890410959</v>
      </c>
      <c r="D20" s="10" t="n">
        <f aca="false">D19-F19</f>
        <v>60</v>
      </c>
      <c r="E20" s="9" t="n">
        <f aca="false">$B$6/$B$8*D20</f>
        <v>1.35</v>
      </c>
      <c r="F20" s="10" t="n">
        <f aca="false">$B$12</f>
        <v>10</v>
      </c>
      <c r="G20" s="9" t="n">
        <f aca="false">E20+F20</f>
        <v>11.35</v>
      </c>
      <c r="H20" s="11" t="n">
        <f aca="false">1/(1+$B$7)^C20</f>
        <v>0.890076591042852</v>
      </c>
      <c r="I20" s="9" t="n">
        <f aca="false">G20*H20</f>
        <v>10.1023693083364</v>
      </c>
      <c r="J20" s="15" t="n">
        <f aca="false">I20/$I$26</f>
        <v>0.10157851449719</v>
      </c>
      <c r="K20" s="11" t="n">
        <f aca="false">J20*C20</f>
        <v>0.488690058786483</v>
      </c>
      <c r="L20" s="10" t="n">
        <f aca="false">C20*(C20+1)*I20</f>
        <v>282.424710317398</v>
      </c>
    </row>
    <row r="21" customFormat="false" ht="15" hidden="false" customHeight="false" outlineLevel="0" collapsed="false">
      <c r="A21" s="8" t="n">
        <v>6</v>
      </c>
      <c r="B21" s="14" t="n">
        <f aca="false">EDATE(B20,12/$B$8)</f>
        <v>47802</v>
      </c>
      <c r="C21" s="9" t="n">
        <f aca="false">C20+1/$B$8</f>
        <v>5.81095890410959</v>
      </c>
      <c r="D21" s="10" t="n">
        <f aca="false">D20-F20</f>
        <v>50</v>
      </c>
      <c r="E21" s="9" t="n">
        <f aca="false">$B$6/$B$8*D21</f>
        <v>1.125</v>
      </c>
      <c r="F21" s="10" t="n">
        <f aca="false">$B$12</f>
        <v>10</v>
      </c>
      <c r="G21" s="9" t="n">
        <f aca="false">E21+F21</f>
        <v>11.125</v>
      </c>
      <c r="H21" s="11" t="n">
        <f aca="false">1/(1+$B$7)^C21</f>
        <v>0.868791206483994</v>
      </c>
      <c r="I21" s="9" t="n">
        <f aca="false">G21*H21</f>
        <v>9.66530217213443</v>
      </c>
      <c r="J21" s="15" t="n">
        <f aca="false">I21/$I$26</f>
        <v>0.0971838394387069</v>
      </c>
      <c r="K21" s="11" t="n">
        <f aca="false">J21*C21</f>
        <v>0.564731297121911</v>
      </c>
      <c r="L21" s="10" t="n">
        <f aca="false">C21*(C21+1)*I21</f>
        <v>382.535284556528</v>
      </c>
    </row>
    <row r="22" customFormat="false" ht="15" hidden="false" customHeight="false" outlineLevel="0" collapsed="false">
      <c r="A22" s="8" t="n">
        <v>7</v>
      </c>
      <c r="B22" s="14" t="n">
        <f aca="false">EDATE(B21,12/$B$8)</f>
        <v>48167</v>
      </c>
      <c r="C22" s="9" t="n">
        <f aca="false">C21+1/$B$8</f>
        <v>6.81095890410959</v>
      </c>
      <c r="D22" s="10" t="n">
        <f aca="false">D21-F21</f>
        <v>40</v>
      </c>
      <c r="E22" s="9" t="n">
        <f aca="false">$B$6/$B$8*D22</f>
        <v>0.9</v>
      </c>
      <c r="F22" s="10" t="n">
        <f aca="false">$B$12</f>
        <v>10</v>
      </c>
      <c r="G22" s="9" t="n">
        <f aca="false">E22+F22</f>
        <v>10.9</v>
      </c>
      <c r="H22" s="11" t="n">
        <f aca="false">1/(1+$B$7)^C22</f>
        <v>0.848014842834547</v>
      </c>
      <c r="I22" s="9" t="n">
        <f aca="false">G22*H22</f>
        <v>9.24336178689657</v>
      </c>
      <c r="J22" s="15" t="n">
        <f aca="false">I22/$I$26</f>
        <v>0.0929412626499662</v>
      </c>
      <c r="K22" s="11" t="n">
        <f aca="false">J22*C22</f>
        <v>0.633019120404975</v>
      </c>
      <c r="L22" s="10" t="n">
        <f aca="false">C22*(C22+1)*I22</f>
        <v>491.747957168273</v>
      </c>
    </row>
    <row r="23" customFormat="false" ht="15" hidden="false" customHeight="false" outlineLevel="0" collapsed="false">
      <c r="A23" s="8" t="n">
        <v>8</v>
      </c>
      <c r="B23" s="14" t="n">
        <f aca="false">EDATE(B22,12/$B$8)</f>
        <v>48533</v>
      </c>
      <c r="C23" s="9" t="n">
        <f aca="false">C22+1/$B$8</f>
        <v>7.81095890410959</v>
      </c>
      <c r="D23" s="10" t="n">
        <f aca="false">D22-F22</f>
        <v>30</v>
      </c>
      <c r="E23" s="9" t="n">
        <f aca="false">$B$6/$B$8*D23</f>
        <v>0.675</v>
      </c>
      <c r="F23" s="10" t="n">
        <f aca="false">$B$12</f>
        <v>10</v>
      </c>
      <c r="G23" s="9" t="n">
        <f aca="false">E23+F23</f>
        <v>10.675</v>
      </c>
      <c r="H23" s="11" t="n">
        <f aca="false">1/(1+$B$7)^C23</f>
        <v>0.827735327315322</v>
      </c>
      <c r="I23" s="9" t="n">
        <f aca="false">G23*H23</f>
        <v>8.83607461909107</v>
      </c>
      <c r="J23" s="15" t="n">
        <f aca="false">I23/$I$26</f>
        <v>0.0888460227892227</v>
      </c>
      <c r="K23" s="11" t="n">
        <f aca="false">J23*C23</f>
        <v>0.693972632800203</v>
      </c>
      <c r="L23" s="10" t="n">
        <f aca="false">C23*(C23+1)*I23</f>
        <v>608.116662373549</v>
      </c>
    </row>
    <row r="24" customFormat="false" ht="15" hidden="false" customHeight="false" outlineLevel="0" collapsed="false">
      <c r="A24" s="8" t="n">
        <v>9</v>
      </c>
      <c r="B24" s="14" t="n">
        <f aca="false">EDATE(B23,12/$B$8)</f>
        <v>48898</v>
      </c>
      <c r="C24" s="9" t="n">
        <f aca="false">C23+1/$B$8</f>
        <v>8.81095890410959</v>
      </c>
      <c r="D24" s="10" t="n">
        <f aca="false">D23-F23</f>
        <v>20</v>
      </c>
      <c r="E24" s="9" t="n">
        <f aca="false">$B$6/$B$8*D24</f>
        <v>0.45</v>
      </c>
      <c r="F24" s="10" t="n">
        <f aca="false">$B$12</f>
        <v>10</v>
      </c>
      <c r="G24" s="9" t="n">
        <f aca="false">E24+F24</f>
        <v>10.45</v>
      </c>
      <c r="H24" s="11" t="n">
        <f aca="false">1/(1+$B$7)^C24</f>
        <v>0.80794077824824</v>
      </c>
      <c r="I24" s="9" t="n">
        <f aca="false">G24*H24</f>
        <v>8.44298113269411</v>
      </c>
      <c r="J24" s="15" t="n">
        <f aca="false">I24/$I$26</f>
        <v>0.0848934992585521</v>
      </c>
      <c r="K24" s="11" t="n">
        <f aca="false">J24*C24</f>
        <v>0.74799313319316</v>
      </c>
      <c r="L24" s="10" t="n">
        <f aca="false">C24*(C24+1)*I24</f>
        <v>729.844687128896</v>
      </c>
    </row>
    <row r="25" customFormat="false" ht="15" hidden="false" customHeight="false" outlineLevel="0" collapsed="false">
      <c r="A25" s="8" t="n">
        <v>10</v>
      </c>
      <c r="B25" s="14" t="n">
        <f aca="false">EDATE(B24,12/$B$8)</f>
        <v>49263</v>
      </c>
      <c r="C25" s="9" t="n">
        <f aca="false">C24+1/$B$8</f>
        <v>9.81095890410959</v>
      </c>
      <c r="D25" s="10" t="n">
        <f aca="false">D24-F24</f>
        <v>10</v>
      </c>
      <c r="E25" s="9" t="n">
        <f aca="false">$B$6/$B$8*D25</f>
        <v>0.225</v>
      </c>
      <c r="F25" s="10" t="n">
        <f aca="false">$B$12</f>
        <v>10</v>
      </c>
      <c r="G25" s="9" t="n">
        <f aca="false">E25+F25</f>
        <v>10.225</v>
      </c>
      <c r="H25" s="11" t="n">
        <f aca="false">1/(1+$B$7)^C25</f>
        <v>0.788619598094915</v>
      </c>
      <c r="I25" s="9" t="n">
        <f aca="false">G25*H25</f>
        <v>8.0636353905205</v>
      </c>
      <c r="J25" s="15" t="n">
        <f aca="false">I25/$I$26</f>
        <v>0.0810792081952634</v>
      </c>
      <c r="K25" s="11" t="n">
        <f aca="false">J25*C25</f>
        <v>0.795464779581475</v>
      </c>
      <c r="L25" s="10" t="n">
        <f aca="false">C25*(C25+1)*I25</f>
        <v>855.276531460381</v>
      </c>
    </row>
    <row r="26" customFormat="false" ht="15" hidden="false" customHeight="false" outlineLevel="0" collapsed="false">
      <c r="A26" s="16" t="s">
        <v>45</v>
      </c>
      <c r="B26" s="17"/>
      <c r="C26" s="17"/>
      <c r="D26" s="17"/>
      <c r="E26" s="18" t="n">
        <f aca="false">SUM(E16:E25)</f>
        <v>12.375</v>
      </c>
      <c r="F26" s="20" t="n">
        <f aca="false">SUM(F16:F25)</f>
        <v>100</v>
      </c>
      <c r="G26" s="18" t="n">
        <f aca="false">SUM(G16:G25)</f>
        <v>112.375</v>
      </c>
      <c r="H26" s="17"/>
      <c r="I26" s="18" t="n">
        <f aca="false">SUM(I16:I25)</f>
        <v>99.4538004256383</v>
      </c>
      <c r="J26" s="19" t="n">
        <f aca="false">SUM(J16:J25)</f>
        <v>1</v>
      </c>
      <c r="K26" s="18" t="n">
        <f aca="false">SUM(K16:K25)</f>
        <v>4.94742615264656</v>
      </c>
      <c r="L26" s="20" t="n">
        <f aca="false">SUM(L16:L25)</f>
        <v>3737.78763827898</v>
      </c>
    </row>
    <row r="27" customFormat="false" ht="15" hidden="false" customHeight="false" outlineLevel="0" collapsed="false">
      <c r="A27" s="2" t="s">
        <v>70</v>
      </c>
    </row>
    <row r="29" customFormat="false" ht="15" hidden="false" customHeight="false" outlineLevel="0" collapsed="false">
      <c r="A29" s="3" t="s">
        <v>71</v>
      </c>
    </row>
    <row r="30" customFormat="false" ht="15" hidden="false" customHeight="false" outlineLevel="0" collapsed="false">
      <c r="A30" s="4" t="s">
        <v>72</v>
      </c>
      <c r="B30" s="12" t="n">
        <f aca="false">I26</f>
        <v>99.4538004256383</v>
      </c>
      <c r="C30" s="2" t="s">
        <v>73</v>
      </c>
    </row>
    <row r="31" customFormat="false" ht="15" hidden="false" customHeight="false" outlineLevel="0" collapsed="false">
      <c r="A31" s="4" t="s">
        <v>53</v>
      </c>
      <c r="B31" s="12" t="n">
        <f aca="false">K26</f>
        <v>4.94742615264656</v>
      </c>
      <c r="C31" s="2" t="s">
        <v>74</v>
      </c>
    </row>
    <row r="32" customFormat="false" ht="15" hidden="false" customHeight="false" outlineLevel="0" collapsed="false">
      <c r="A32" s="4" t="s">
        <v>55</v>
      </c>
      <c r="B32" s="12" t="n">
        <f aca="false">B31/(1+B7/B8)</f>
        <v>4.82911288691709</v>
      </c>
      <c r="C32" s="2"/>
    </row>
    <row r="33" customFormat="false" ht="15" hidden="false" customHeight="false" outlineLevel="0" collapsed="false">
      <c r="A33" s="4" t="s">
        <v>57</v>
      </c>
      <c r="B33" s="21" t="n">
        <f aca="false">L26</f>
        <v>3737.78763827898</v>
      </c>
      <c r="C33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76</v>
      </c>
    </row>
    <row r="3" customFormat="false" ht="30" hidden="false" customHeight="true" outlineLevel="0" collapsed="false">
      <c r="A3" s="13" t="s">
        <v>77</v>
      </c>
      <c r="B3" s="13" t="s">
        <v>78</v>
      </c>
      <c r="C3" s="13" t="s">
        <v>79</v>
      </c>
      <c r="D3" s="13" t="s">
        <v>53</v>
      </c>
    </row>
    <row r="4" customFormat="false" ht="15" hidden="false" customHeight="false" outlineLevel="0" collapsed="false">
      <c r="A4" s="4" t="s">
        <v>80</v>
      </c>
      <c r="B4" s="25" t="n">
        <f aca="false">Stående!B43</f>
        <v>98.6956241437052</v>
      </c>
      <c r="C4" s="25" t="n">
        <f aca="false">Stående!C38</f>
        <v>9.81095890410959</v>
      </c>
      <c r="D4" s="25" t="n">
        <f aca="false">Stående!B46</f>
        <v>8.86655890563819</v>
      </c>
    </row>
    <row r="5" customFormat="false" ht="15" hidden="false" customHeight="false" outlineLevel="0" collapsed="false">
      <c r="A5" s="4" t="s">
        <v>81</v>
      </c>
      <c r="B5" s="25" t="n">
        <f aca="false">Serieobligation!B30</f>
        <v>99.4538004256383</v>
      </c>
      <c r="C5" s="25" t="n">
        <f aca="false">Serieobligation!C25</f>
        <v>9.81095890410959</v>
      </c>
      <c r="D5" s="25" t="n">
        <f aca="false">Serieobligation!B31</f>
        <v>4.94742615264656</v>
      </c>
    </row>
    <row r="6" customFormat="false" ht="15" hidden="false" customHeight="false" outlineLevel="0" collapsed="false">
      <c r="A6" s="2" t="s">
        <v>82</v>
      </c>
    </row>
    <row r="8" customFormat="false" ht="15" hidden="false" customHeight="false" outlineLevel="0" collapsed="false">
      <c r="A8" s="3" t="s">
        <v>83</v>
      </c>
    </row>
    <row r="9" customFormat="false" ht="15" hidden="false" customHeight="false" outlineLevel="0" collapsed="false">
      <c r="A9" s="26" t="s">
        <v>84</v>
      </c>
      <c r="B9" s="26" t="s">
        <v>85</v>
      </c>
      <c r="C9" s="26" t="s">
        <v>86</v>
      </c>
    </row>
    <row r="10" customFormat="false" ht="15" hidden="false" customHeight="false" outlineLevel="0" collapsed="false">
      <c r="A10" s="25" t="n">
        <f aca="false">Stående!C29</f>
        <v>0.810958904109589</v>
      </c>
      <c r="B10" s="23" t="n">
        <f aca="false">Stående!G29</f>
        <v>0.0223542369732251</v>
      </c>
      <c r="C10" s="23" t="n">
        <f aca="false">Serieobligation!J16</f>
        <v>0.120778584499018</v>
      </c>
    </row>
    <row r="11" customFormat="false" ht="15" hidden="false" customHeight="false" outlineLevel="0" collapsed="false">
      <c r="A11" s="25" t="n">
        <f aca="false">Stående!C30</f>
        <v>1.81095890410959</v>
      </c>
      <c r="B11" s="23" t="n">
        <f aca="false">Stående!G30</f>
        <v>0.0218196554155442</v>
      </c>
      <c r="C11" s="23" t="n">
        <f aca="false">Serieobligation!J17</f>
        <v>0.115724941273549</v>
      </c>
    </row>
    <row r="12" customFormat="false" ht="15" hidden="false" customHeight="false" outlineLevel="0" collapsed="false">
      <c r="A12" s="25" t="n">
        <f aca="false">Stående!C31</f>
        <v>2.81095890410959</v>
      </c>
      <c r="B12" s="23" t="n">
        <f aca="false">Stående!G31</f>
        <v>0.0212978578970661</v>
      </c>
      <c r="C12" s="23" t="n">
        <f aca="false">Serieobligation!J18</f>
        <v>0.110843933364615</v>
      </c>
    </row>
    <row r="13" customFormat="false" ht="15" hidden="false" customHeight="false" outlineLevel="0" collapsed="false">
      <c r="A13" s="25" t="n">
        <f aca="false">Stående!C32</f>
        <v>3.81095890410959</v>
      </c>
      <c r="B13" s="23" t="n">
        <f aca="false">Stående!G32</f>
        <v>0.020788538698942</v>
      </c>
      <c r="C13" s="23" t="n">
        <f aca="false">Serieobligation!J19</f>
        <v>0.106130194033916</v>
      </c>
    </row>
    <row r="14" customFormat="false" ht="15" hidden="false" customHeight="false" outlineLevel="0" collapsed="false">
      <c r="A14" s="25" t="n">
        <f aca="false">Stående!C33</f>
        <v>4.81095890410959</v>
      </c>
      <c r="B14" s="23" t="n">
        <f aca="false">Stående!G33</f>
        <v>0.0202913994133158</v>
      </c>
      <c r="C14" s="23" t="n">
        <f aca="false">Serieobligation!J20</f>
        <v>0.10157851449719</v>
      </c>
    </row>
    <row r="15" customFormat="false" ht="15" hidden="false" customHeight="false" outlineLevel="0" collapsed="false">
      <c r="A15" s="25" t="n">
        <f aca="false">Stående!C34</f>
        <v>5.81095890410959</v>
      </c>
      <c r="B15" s="23" t="n">
        <f aca="false">Stående!G34</f>
        <v>0.0198061487684879</v>
      </c>
      <c r="C15" s="23" t="n">
        <f aca="false">Serieobligation!J21</f>
        <v>0.0971838394387069</v>
      </c>
    </row>
    <row r="16" customFormat="false" ht="15" hidden="false" customHeight="false" outlineLevel="0" collapsed="false">
      <c r="A16" s="25" t="n">
        <f aca="false">Stående!C35</f>
        <v>6.81095890410959</v>
      </c>
      <c r="B16" s="23" t="n">
        <f aca="false">Stående!G35</f>
        <v>0.0193325024582605</v>
      </c>
      <c r="C16" s="23" t="n">
        <f aca="false">Serieobligation!J22</f>
        <v>0.0929412626499662</v>
      </c>
    </row>
    <row r="17" customFormat="false" ht="15" hidden="false" customHeight="false" outlineLevel="0" collapsed="false">
      <c r="A17" s="25" t="n">
        <f aca="false">Stående!C36</f>
        <v>7.81095890410959</v>
      </c>
      <c r="B17" s="23" t="n">
        <f aca="false">Stående!G36</f>
        <v>0.0188701829753641</v>
      </c>
      <c r="C17" s="23" t="n">
        <f aca="false">Serieobligation!J23</f>
        <v>0.0888460227892227</v>
      </c>
    </row>
    <row r="18" customFormat="false" ht="15" hidden="false" customHeight="false" outlineLevel="0" collapsed="false">
      <c r="A18" s="25" t="n">
        <f aca="false">Stående!C37</f>
        <v>8.81095890410959</v>
      </c>
      <c r="B18" s="23" t="n">
        <f aca="false">Stående!G37</f>
        <v>0.0184189194488668</v>
      </c>
      <c r="C18" s="23" t="n">
        <f aca="false">Serieobligation!J24</f>
        <v>0.0848934992585521</v>
      </c>
    </row>
    <row r="19" customFormat="false" ht="15" hidden="false" customHeight="false" outlineLevel="0" collapsed="false">
      <c r="A19" s="25" t="n">
        <f aca="false">Stående!C38</f>
        <v>9.81095890410959</v>
      </c>
      <c r="B19" s="23" t="n">
        <f aca="false">Stående!G38</f>
        <v>0.817020557950928</v>
      </c>
      <c r="C19" s="23" t="n">
        <f aca="false">Serieobligation!J25</f>
        <v>0.0810792081952634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4" t="s">
        <v>5</v>
      </c>
      <c r="B4" s="22" t="n">
        <f aca="false">Stående!B6</f>
        <v>45680</v>
      </c>
    </row>
    <row r="6" customFormat="false" ht="30" hidden="false" customHeight="true" outlineLevel="0" collapsed="false">
      <c r="A6" s="13" t="s">
        <v>37</v>
      </c>
      <c r="B6" s="13" t="s">
        <v>89</v>
      </c>
      <c r="C6" s="13" t="s">
        <v>90</v>
      </c>
      <c r="D6" s="13" t="s">
        <v>91</v>
      </c>
      <c r="E6" s="13" t="s">
        <v>92</v>
      </c>
      <c r="F6" s="13" t="s">
        <v>93</v>
      </c>
    </row>
    <row r="7" customFormat="false" ht="15" hidden="false" customHeight="false" outlineLevel="0" collapsed="false">
      <c r="A7" s="22" t="n">
        <f aca="false">Stående!B29</f>
        <v>45976</v>
      </c>
      <c r="B7" s="8" t="n">
        <f aca="false">A7-$B$4</f>
        <v>296</v>
      </c>
      <c r="C7" s="25" t="n">
        <f aca="false">Stående!C29</f>
        <v>0.810958904109589</v>
      </c>
      <c r="D7" s="9" t="n">
        <f aca="false">B7/365</f>
        <v>0.810958904109589</v>
      </c>
      <c r="E7" s="11" t="n">
        <f aca="false">D7-C7</f>
        <v>0</v>
      </c>
      <c r="F7" s="27" t="str">
        <f aca="false">IF(ROUND(E7,6)&gt;0,"Ja","Nej")</f>
        <v>Nej</v>
      </c>
    </row>
    <row r="8" customFormat="false" ht="15" hidden="false" customHeight="false" outlineLevel="0" collapsed="false">
      <c r="A8" s="22" t="n">
        <f aca="false">Stående!B30</f>
        <v>46341</v>
      </c>
      <c r="B8" s="8" t="n">
        <f aca="false">A8-$B$4</f>
        <v>661</v>
      </c>
      <c r="C8" s="25" t="n">
        <f aca="false">Stående!C30</f>
        <v>1.81095890410959</v>
      </c>
      <c r="D8" s="9" t="n">
        <f aca="false">B8/365</f>
        <v>1.81095890410959</v>
      </c>
      <c r="E8" s="11" t="n">
        <f aca="false">D8-C8</f>
        <v>0</v>
      </c>
      <c r="F8" s="27" t="str">
        <f aca="false">IF(ROUND(E8,6)&gt;0,"Ja","Nej")</f>
        <v>Nej</v>
      </c>
    </row>
    <row r="9" customFormat="false" ht="15" hidden="false" customHeight="false" outlineLevel="0" collapsed="false">
      <c r="A9" s="22" t="n">
        <f aca="false">Stående!B31</f>
        <v>46706</v>
      </c>
      <c r="B9" s="8" t="n">
        <f aca="false">A9-$B$4</f>
        <v>1026</v>
      </c>
      <c r="C9" s="25" t="n">
        <f aca="false">Stående!C31</f>
        <v>2.81095890410959</v>
      </c>
      <c r="D9" s="9" t="n">
        <f aca="false">B9/365</f>
        <v>2.81095890410959</v>
      </c>
      <c r="E9" s="11" t="n">
        <f aca="false">D9-C9</f>
        <v>0</v>
      </c>
      <c r="F9" s="27" t="str">
        <f aca="false">IF(ROUND(E9,6)&gt;0,"Ja","Nej")</f>
        <v>Nej</v>
      </c>
    </row>
    <row r="10" customFormat="false" ht="15" hidden="false" customHeight="false" outlineLevel="0" collapsed="false">
      <c r="A10" s="22" t="n">
        <f aca="false">Stående!B32</f>
        <v>47072</v>
      </c>
      <c r="B10" s="8" t="n">
        <f aca="false">A10-$B$4</f>
        <v>1392</v>
      </c>
      <c r="C10" s="25" t="n">
        <f aca="false">Stående!C32</f>
        <v>3.81095890410959</v>
      </c>
      <c r="D10" s="9" t="n">
        <f aca="false">B10/365</f>
        <v>3.81369863013699</v>
      </c>
      <c r="E10" s="11" t="n">
        <f aca="false">D10-C10</f>
        <v>0.00273972602739692</v>
      </c>
      <c r="F10" s="27" t="str">
        <f aca="false">IF(ROUND(E10,6)&gt;0,"Ja","Nej")</f>
        <v>Ja</v>
      </c>
    </row>
    <row r="11" customFormat="false" ht="15" hidden="false" customHeight="false" outlineLevel="0" collapsed="false">
      <c r="A11" s="22" t="n">
        <f aca="false">Stående!B33</f>
        <v>47437</v>
      </c>
      <c r="B11" s="8" t="n">
        <f aca="false">A11-$B$4</f>
        <v>1757</v>
      </c>
      <c r="C11" s="25" t="n">
        <f aca="false">Stående!C33</f>
        <v>4.81095890410959</v>
      </c>
      <c r="D11" s="9" t="n">
        <f aca="false">B11/365</f>
        <v>4.81369863013699</v>
      </c>
      <c r="E11" s="11" t="n">
        <f aca="false">D11-C11</f>
        <v>0.00273972602739736</v>
      </c>
      <c r="F11" s="27" t="str">
        <f aca="false">IF(ROUND(E11,6)&gt;0,"Ja","Nej")</f>
        <v>Ja</v>
      </c>
    </row>
    <row r="12" customFormat="false" ht="15" hidden="false" customHeight="false" outlineLevel="0" collapsed="false">
      <c r="A12" s="22" t="n">
        <f aca="false">Stående!B34</f>
        <v>47802</v>
      </c>
      <c r="B12" s="8" t="n">
        <f aca="false">A12-$B$4</f>
        <v>2122</v>
      </c>
      <c r="C12" s="25" t="n">
        <f aca="false">Stående!C34</f>
        <v>5.81095890410959</v>
      </c>
      <c r="D12" s="9" t="n">
        <f aca="false">B12/365</f>
        <v>5.81369863013699</v>
      </c>
      <c r="E12" s="11" t="n">
        <f aca="false">D12-C12</f>
        <v>0.00273972602739736</v>
      </c>
      <c r="F12" s="27" t="str">
        <f aca="false">IF(ROUND(E12,6)&gt;0,"Ja","Nej")</f>
        <v>Ja</v>
      </c>
    </row>
    <row r="13" customFormat="false" ht="15" hidden="false" customHeight="false" outlineLevel="0" collapsed="false">
      <c r="A13" s="22" t="n">
        <f aca="false">Stående!B35</f>
        <v>48167</v>
      </c>
      <c r="B13" s="8" t="n">
        <f aca="false">A13-$B$4</f>
        <v>2487</v>
      </c>
      <c r="C13" s="25" t="n">
        <f aca="false">Stående!C35</f>
        <v>6.81095890410959</v>
      </c>
      <c r="D13" s="9" t="n">
        <f aca="false">B13/365</f>
        <v>6.81369863013699</v>
      </c>
      <c r="E13" s="11" t="n">
        <f aca="false">D13-C13</f>
        <v>0.00273972602739736</v>
      </c>
      <c r="F13" s="27" t="str">
        <f aca="false">IF(ROUND(E13,6)&gt;0,"Ja","Nej")</f>
        <v>Ja</v>
      </c>
    </row>
    <row r="14" customFormat="false" ht="15" hidden="false" customHeight="false" outlineLevel="0" collapsed="false">
      <c r="A14" s="22" t="n">
        <f aca="false">Stående!B36</f>
        <v>48533</v>
      </c>
      <c r="B14" s="8" t="n">
        <f aca="false">A14-$B$4</f>
        <v>2853</v>
      </c>
      <c r="C14" s="25" t="n">
        <f aca="false">Stående!C36</f>
        <v>7.81095890410959</v>
      </c>
      <c r="D14" s="9" t="n">
        <f aca="false">B14/365</f>
        <v>7.81643835616438</v>
      </c>
      <c r="E14" s="11" t="n">
        <f aca="false">D14-C14</f>
        <v>0.00547945205479472</v>
      </c>
      <c r="F14" s="27" t="str">
        <f aca="false">IF(ROUND(E14,6)&gt;0,"Ja","Nej")</f>
        <v>Ja</v>
      </c>
    </row>
    <row r="15" customFormat="false" ht="15" hidden="false" customHeight="false" outlineLevel="0" collapsed="false">
      <c r="A15" s="22" t="n">
        <f aca="false">Stående!B37</f>
        <v>48898</v>
      </c>
      <c r="B15" s="8" t="n">
        <f aca="false">A15-$B$4</f>
        <v>3218</v>
      </c>
      <c r="C15" s="25" t="n">
        <f aca="false">Stående!C37</f>
        <v>8.81095890410959</v>
      </c>
      <c r="D15" s="9" t="n">
        <f aca="false">B15/365</f>
        <v>8.81643835616438</v>
      </c>
      <c r="E15" s="11" t="n">
        <f aca="false">D15-C15</f>
        <v>0.00547945205479294</v>
      </c>
      <c r="F15" s="27" t="str">
        <f aca="false">IF(ROUND(E15,6)&gt;0,"Ja","Nej")</f>
        <v>Ja</v>
      </c>
    </row>
    <row r="16" customFormat="false" ht="15" hidden="false" customHeight="false" outlineLevel="0" collapsed="false">
      <c r="A16" s="22" t="n">
        <f aca="false">Stående!B38</f>
        <v>49263</v>
      </c>
      <c r="B16" s="8" t="n">
        <f aca="false">A16-$B$4</f>
        <v>3583</v>
      </c>
      <c r="C16" s="25" t="n">
        <f aca="false">Stående!C38</f>
        <v>9.81095890410959</v>
      </c>
      <c r="D16" s="9" t="n">
        <f aca="false">B16/365</f>
        <v>9.81643835616438</v>
      </c>
      <c r="E16" s="11" t="n">
        <f aca="false">D16-C16</f>
        <v>0.00547945205479294</v>
      </c>
      <c r="F16" s="27" t="str">
        <f aca="false">IF(ROUND(E16,6)&gt;0,"Ja","Nej")</f>
        <v>Ja</v>
      </c>
    </row>
    <row r="18" customFormat="false" ht="15" hidden="false" customHeight="false" outlineLevel="0" collapsed="false">
      <c r="A18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2026-10-29T11:06:46Z</dcterms:created>
  <dc:creator>openpyxl</dc:creator>
  <dc:description/>
  <dc:language>en-US</dc:language>
  <cp:lastModifiedBy/>
  <dcterms:modified xsi:type="dcterms:W3CDTF">2026-10-29T11:06:47Z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